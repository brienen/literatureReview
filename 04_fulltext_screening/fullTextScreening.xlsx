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rjen/kDrive/Obsidian/Literature Review MDIM/04_fulltext_screening/"/>
    </mc:Choice>
  </mc:AlternateContent>
  <xr:revisionPtr revIDLastSave="0" documentId="13_ncr:1_{7F603906-EEBF-ED44-8B9F-13DF7DBBF01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01_CoreScreening" sheetId="1" r:id="rId1"/>
    <sheet name="02_OpenAlex_Screening" sheetId="3" r:id="rId2"/>
    <sheet name="Exclusiecriteria" sheetId="2" r:id="rId3"/>
  </sheets>
  <definedNames>
    <definedName name="_xlnm._FilterDatabase" localSheetId="0" hidden="1">'01_CoreScreening'!$A$1:$I$92</definedName>
    <definedName name="_xlnm._FilterDatabase" localSheetId="1" hidden="1">'02_OpenAlex_Screening'!$A$1:$L$97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3" l="1"/>
  <c r="H11" i="3"/>
  <c r="H15" i="3"/>
  <c r="H20" i="3"/>
  <c r="H19" i="3"/>
  <c r="H12" i="3"/>
  <c r="H18" i="3"/>
  <c r="H10" i="3"/>
  <c r="H14" i="3"/>
  <c r="H24" i="3"/>
  <c r="H5" i="3"/>
  <c r="H7" i="3"/>
  <c r="H13" i="3"/>
  <c r="H2" i="3"/>
  <c r="H26" i="3"/>
  <c r="H23" i="3"/>
  <c r="H25" i="3"/>
  <c r="H6" i="3"/>
  <c r="H4" i="3"/>
  <c r="H3" i="3"/>
  <c r="H17" i="3"/>
  <c r="H27" i="3"/>
  <c r="H16" i="3"/>
  <c r="H22" i="3"/>
  <c r="H8" i="3"/>
  <c r="H9" i="3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B97" i="1" s="1"/>
  <c r="H9" i="1"/>
  <c r="H8" i="1"/>
  <c r="H7" i="1"/>
  <c r="H6" i="1"/>
  <c r="H5" i="1"/>
  <c r="H4" i="1"/>
  <c r="H3" i="1"/>
  <c r="H2" i="1"/>
  <c r="B96" i="1" l="1"/>
  <c r="B95" i="1"/>
</calcChain>
</file>

<file path=xl/sharedStrings.xml><?xml version="1.0" encoding="utf-8"?>
<sst xmlns="http://schemas.openxmlformats.org/spreadsheetml/2006/main" count="389" uniqueCount="356">
  <si>
    <t>Auteur(s) en Jaar</t>
  </si>
  <si>
    <t>Titel</t>
  </si>
  <si>
    <t>Knock-out</t>
  </si>
  <si>
    <t>A: Topical Relevance (0-2)</t>
  </si>
  <si>
    <t>B: Analytical Contribution (0-2)</t>
  </si>
  <si>
    <t>C: Abstraction &amp; Transferability (0-2)</t>
  </si>
  <si>
    <t>D: Conceptual &amp; Methodological Rigor (0-2)</t>
  </si>
  <si>
    <t>Totaalscore</t>
  </si>
  <si>
    <t>Categorie</t>
  </si>
  <si>
    <t>Remarks</t>
  </si>
  <si>
    <t>MDIM Case Study</t>
  </si>
  <si>
    <t>Banouar en Raghay (2016)</t>
  </si>
  <si>
    <t>Comparative study of the systems of semantic integration of information A survey</t>
  </si>
  <si>
    <t>Hofman e.a. (2024)</t>
  </si>
  <si>
    <t>Digital Infrastructures for Compliance Monitoring of Circular Economy Requirements for Interoperabl</t>
  </si>
  <si>
    <t>Cetl e.a. (2019)</t>
  </si>
  <si>
    <t>Establishing Common Ground Through INSPIRE The Legally-Driven European Spatial Data Infrastructure</t>
  </si>
  <si>
    <t>On OOTS</t>
  </si>
  <si>
    <t>Ryhänen e.a. (2014)</t>
  </si>
  <si>
    <t>Generic data models for Semantic e- Government interoperability Literature Review</t>
  </si>
  <si>
    <t>Dias Marques e.a. (2015)</t>
  </si>
  <si>
    <t>Information sharing performance management A semantic interoperability assessment in the maritime s</t>
  </si>
  <si>
    <t>On Thesaurus mapping only</t>
  </si>
  <si>
    <t>Buyle e.a. (2016)</t>
  </si>
  <si>
    <t>OSLO Open standards for linked organizations</t>
  </si>
  <si>
    <t>Focussed on service delivery in Tunesia and very implementatiom oriented</t>
  </si>
  <si>
    <t>Buyle e.a. (2019)</t>
  </si>
  <si>
    <t>Raising interoperability among base registries The evolution of the Linked Base Registry for addres</t>
  </si>
  <si>
    <t>Focussed on one system design for BIM implementation</t>
  </si>
  <si>
    <t>Karunarathne e.a. (2022)</t>
  </si>
  <si>
    <t>A Canonical Evidence-based Approach for Semantic Interoperability in Cross-border and Cross-domain e</t>
  </si>
  <si>
    <t>UML Design on GEO Information in Turkey</t>
  </si>
  <si>
    <t>Guzmán en Karunaratne (2025)</t>
  </si>
  <si>
    <t>A Framework for Efficient Semantic Elicitation of EU-Wide Evidence for Public Services</t>
  </si>
  <si>
    <t>Shallow insights in deployment of Linked Data in Thailand</t>
  </si>
  <si>
    <t>Tang en Yang (2007)</t>
  </si>
  <si>
    <t>A study on dynamic ontology for information integration in E-governmental virtual organization</t>
  </si>
  <si>
    <t>Very much focussed on the design process of government ontlogies</t>
  </si>
  <si>
    <t>Muthaiyah en Kerschberg (2008)</t>
  </si>
  <si>
    <t>Achieving interoperability in e-government services with two modes of semantic bridging SRS and SWR</t>
  </si>
  <si>
    <t>Promissing but the core of the approach is missing/very weak</t>
  </si>
  <si>
    <t>Wang e.a. (2021)</t>
  </si>
  <si>
    <t>An Ontology for Chinese Government Archives Knowledge Representation and Reasoning</t>
  </si>
  <si>
    <t>Shallow report on the devlopment of a UN Geo taxonomy</t>
  </si>
  <si>
    <t>Balkányi e.a. (2010)</t>
  </si>
  <si>
    <t>Building and using terminology services for the European Centre for Disease Prevention and Control</t>
  </si>
  <si>
    <t>Focus is teh dynamics of government ontologies and how to integrate these</t>
  </si>
  <si>
    <t>Çağdaş en Stubkjaer (2015)</t>
  </si>
  <si>
    <t>Core immovable property vocabulary for european linked land administration</t>
  </si>
  <si>
    <t xml:space="preserve">In depth description of mediation approach </t>
  </si>
  <si>
    <t>Dri Kurniawan (2022)</t>
  </si>
  <si>
    <t>Designing An Ecosystem Model for E-Government  Ontology Development Using Ecosystem Pie Model</t>
  </si>
  <si>
    <t>Extensive definitions on semantic interoperability artefacts</t>
  </si>
  <si>
    <t>Haav e.a. (2009)</t>
  </si>
  <si>
    <t>Ensuring large-scale semantic interoperability The estonian public sector's case study</t>
  </si>
  <si>
    <t>Detoni e.a. (2017)</t>
  </si>
  <si>
    <t>Exploring the role of enterprise architecture models in the modularization of an ontology network A</t>
  </si>
  <si>
    <t>Waters e.a. (2009)</t>
  </si>
  <si>
    <t>Global Interoperability Using Semantics, Standards, Science and Technology (GIS3T)</t>
  </si>
  <si>
    <t>More of a architectural description</t>
  </si>
  <si>
    <t>Younsi Dahbi e.a. (2023)</t>
  </si>
  <si>
    <t>Knowledge Graph based Representation to Extract Value from Open Governement Data An Application to t</t>
  </si>
  <si>
    <t>Gugliotta e.a. (2006)</t>
  </si>
  <si>
    <t>Knowledge modelling for integrating e-Government applications and semantic web services</t>
  </si>
  <si>
    <t>Semantic Framework to classify and interprete Archive (and broader) documents</t>
  </si>
  <si>
    <t>Rojas e.a. (2021)</t>
  </si>
  <si>
    <t>Leveraging Semantic Technologies for Digital Interoperability in the European Railway Domain</t>
  </si>
  <si>
    <t xml:space="preserve">Metadata application in Teheran </t>
  </si>
  <si>
    <t>Peristeras e.a. (2009)</t>
  </si>
  <si>
    <t>Model-driven eGovernment interoperability A review of the state of the art</t>
  </si>
  <si>
    <t xml:space="preserve">Reports an urban fault system for citicens </t>
  </si>
  <si>
    <t>Keller (2016)</t>
  </si>
  <si>
    <t>Ontologies for aviation data management</t>
  </si>
  <si>
    <t>Three types of semantic integration in Russia</t>
  </si>
  <si>
    <t>Consoli e.a. (2017)</t>
  </si>
  <si>
    <t>Producing Linked Data for Smart Cities The Case of Catania</t>
  </si>
  <si>
    <t>On automated tagging</t>
  </si>
  <si>
    <t>Greenberg e.a. (2013)</t>
  </si>
  <si>
    <t>Proposal of a controlled vocabulary to solve semantic interoperability problems in social security i</t>
  </si>
  <si>
    <t>terminilogical interoperability in a health setting</t>
  </si>
  <si>
    <t>Shi e.a. (2013)</t>
  </si>
  <si>
    <t>SBVR as a semantic hub for integration of heterogeneous systems - A case study and experience report</t>
  </si>
  <si>
    <t>Schuurman (2005)</t>
  </si>
  <si>
    <t>Social perspectives on semantic interoperability Constraints on geographical knowledge from a data</t>
  </si>
  <si>
    <t>Introduction of a crop vocabulary in Japan linking it to others</t>
  </si>
  <si>
    <t>van Compernolle e.a. (2016)</t>
  </si>
  <si>
    <t>State-of-the-art assessment on the implementations of international core data models for public admi</t>
  </si>
  <si>
    <t>System Description of CAMELOT (Unmand Aerial System Control)</t>
  </si>
  <si>
    <t>Karunaratne en Kontopoulos (2022)</t>
  </si>
  <si>
    <t>Supporting Learning Mobility With Student Data Harmonisation A European Perspective</t>
  </si>
  <si>
    <t>Indian generic datamodel that is being used to gather staistical data</t>
  </si>
  <si>
    <t>Altahir e.a. (2023)</t>
  </si>
  <si>
    <t>The Impact of Semantic Web and Ontology to Improve E-Government Services A Systematic Review</t>
  </si>
  <si>
    <t>Shehzad e.a. (2021)</t>
  </si>
  <si>
    <t>The role of interoperability dimensions in building information modelling</t>
  </si>
  <si>
    <t>EC5 – Non-government focus</t>
  </si>
  <si>
    <t>Nachabe e.a. (2024)</t>
  </si>
  <si>
    <t>Toward Agile Interaction Model based ontology development Methodology (AIME) for FAIR European data</t>
  </si>
  <si>
    <t>Tomas e.a. (2015)</t>
  </si>
  <si>
    <t>Towards a cross-domain interoperable framework for natural hazards and disaster risk reduction infor</t>
  </si>
  <si>
    <t>Pie model gives new perspective on looking at government services</t>
  </si>
  <si>
    <t>Schmitz e.a. (2017)</t>
  </si>
  <si>
    <t>Towards a public multilingual knowledge management infrastructure for the European digital single ma</t>
  </si>
  <si>
    <t>Taweel e.a. (2011)</t>
  </si>
  <si>
    <t>Towards Achieving Semantic Interoperability in eHealth Services</t>
  </si>
  <si>
    <t>Mainly description of ELMO ontology</t>
  </si>
  <si>
    <t>Case Study</t>
  </si>
  <si>
    <t>de Cesare e.a. (2016)</t>
  </si>
  <si>
    <t>4D-SETL a semantic data integration framework</t>
  </si>
  <si>
    <t>Case Study of Bhutans BTNAD Ontology</t>
  </si>
  <si>
    <t>Francesconi e.a. (2008)</t>
  </si>
  <si>
    <t>A framework for semantic mapping between thesauri</t>
  </si>
  <si>
    <t>Describes how to identify patients over multiple domains</t>
  </si>
  <si>
    <t>Stubkjaer en Çağdaş (2021)</t>
  </si>
  <si>
    <t>Alignment of standards through semantic tools – The case of land administration</t>
  </si>
  <si>
    <t>Describes Estoniam Xroad and the way multiple ontologies are combined</t>
  </si>
  <si>
    <t>Francesconi (2014)</t>
  </si>
  <si>
    <t>An interoperability approach for enabling access to e-justice systems across Europe</t>
  </si>
  <si>
    <t xml:space="preserve">Outlines State of INSPIRE Directive </t>
  </si>
  <si>
    <t>Álvarez Sabucedo en Rif́on (2007)</t>
  </si>
  <si>
    <t>An ontology based architecture for eGovernment environments</t>
  </si>
  <si>
    <t>Describes Semantic Smckdown methodology for developing ontologies</t>
  </si>
  <si>
    <t>Wright e.a. (2015)</t>
  </si>
  <si>
    <t>Automated tagging of environmental data using a novel SKOS formatted environmental thesaurus</t>
  </si>
  <si>
    <t xml:space="preserve">Uses the case of a violant crime process ontology to show how to break up in multiple ontlogies </t>
  </si>
  <si>
    <t>Tshering en Anutariya (2022)</t>
  </si>
  <si>
    <t>Enabling Semantic Interoperability in Bhutan's E-Government An Ontology-based Framework</t>
  </si>
  <si>
    <t>Lit Review on generic data models</t>
  </si>
  <si>
    <t>Doǧaç e.a. (2007)</t>
  </si>
  <si>
    <t>Enhancing IHE XDS for federated clinical affinity domain support</t>
  </si>
  <si>
    <t>NATO Use Case for semantic interoperability</t>
  </si>
  <si>
    <t>Pan e.a. (2007)</t>
  </si>
  <si>
    <t>Hawkeye A practical large scale demonstration of Semantic Web integration</t>
  </si>
  <si>
    <t>Academic project in Taiwan on creating a government ontology combined with a thesaurus</t>
  </si>
  <si>
    <t>Liu e.a. (2015)</t>
  </si>
  <si>
    <t>Integrating various data sources of geospatial information systems with semantics</t>
  </si>
  <si>
    <t>On performance of large scale integration of semantic datasets (allmost off topic)</t>
  </si>
  <si>
    <t>Al-Shehab e.a. (2019)</t>
  </si>
  <si>
    <t>Semantic integration sharing for egovernment domains ontology Design and implementation using owl</t>
  </si>
  <si>
    <t>On combining Spanish and Portugees datasets on forrests</t>
  </si>
  <si>
    <t>Masoumi e.a. (2022)</t>
  </si>
  <si>
    <t>Systematic and ontology-based approach to interoperable cross-domain open government data services</t>
  </si>
  <si>
    <t>Rgorous approach to information sharing and combining in a maratime setting</t>
  </si>
  <si>
    <t>Ben Sta (2017)</t>
  </si>
  <si>
    <t>A framework for semantic model based on ontologies generation for e-government applications Case st</t>
  </si>
  <si>
    <t>Use of Semantic Description model in Tawain</t>
  </si>
  <si>
    <t>Haav (2011)</t>
  </si>
  <si>
    <t>A practical methodology for development of a network of e-government domain ontologies</t>
  </si>
  <si>
    <t>Connecting data using a knowledge graph</t>
  </si>
  <si>
    <t>Okonta e.a. (2025)</t>
  </si>
  <si>
    <t>A Proposed Framework for Enhanced Interoperability in Smart Cities Through Unified City Information</t>
  </si>
  <si>
    <t>Using knowlege graphs to connect semantics</t>
  </si>
  <si>
    <t>Masoumi e.a. (2020)</t>
  </si>
  <si>
    <t>An Ontology-based Open Data Interoperability Approach for Cross-Domain Government Data Services</t>
  </si>
  <si>
    <t>Using a ontology for life events in Saudi Arabia</t>
  </si>
  <si>
    <t>Akatkin e.a. (2017)</t>
  </si>
  <si>
    <t>Application of semantic integration methods for cross-agency Information sharing in healthcare</t>
  </si>
  <si>
    <t>Pro Rail Semantic interoperability using ontlogies and Knwoledge management</t>
  </si>
  <si>
    <t>Khan e.a. (2018)</t>
  </si>
  <si>
    <t>Common Data Model for Healthcare Data</t>
  </si>
  <si>
    <t>Investigates different library (books) schema's and how they are interoperable</t>
  </si>
  <si>
    <t>Alexopoulos e.a. (2009)</t>
  </si>
  <si>
    <t>ELMO An interoperability ontology for the electricity market</t>
  </si>
  <si>
    <t>On merging of databases: design steps of one system</t>
  </si>
  <si>
    <t>Giménez-Garciá e.a. (2024)</t>
  </si>
  <si>
    <t>Improving availability and utilization of forest inventory and land use map data using Linked Open D</t>
  </si>
  <si>
    <t xml:space="preserve">Very strong overview of how models are used in a government setting. Spans further than semantic interoperability only </t>
  </si>
  <si>
    <t>Alqahtani e.a. (2014)</t>
  </si>
  <si>
    <t>Knowledge-based life event model for e-government service integration with illustrative examples</t>
  </si>
  <si>
    <t>FAA (Aviation) challenges with combining data form different sources and a ontlogy approach to tackle these challenges</t>
  </si>
  <si>
    <t>Melzer e.a. (2022)</t>
  </si>
  <si>
    <t>Model-based Development of a Federated Database Infrastructure to support the Usability of Cross-Dom</t>
  </si>
  <si>
    <t>Maroccon ontology approach with few insights</t>
  </si>
  <si>
    <t>Sagri en Tiscornia (2004)</t>
  </si>
  <si>
    <t>Ontology-based models of legal knowledge</t>
  </si>
  <si>
    <t>On the use of ontologies to conceptualize domain knowledge</t>
  </si>
  <si>
    <t>Egloff e.a. (2014)</t>
  </si>
  <si>
    <t>Open exchange of scientific knowledge and European copyright The case of biodiversity information</t>
  </si>
  <si>
    <t>Combining legal terminology in order to provide better service to the public</t>
  </si>
  <si>
    <t>Francesconi en Peruginelli (2010)</t>
  </si>
  <si>
    <t>Semantic interoperability among thesauri A challenge in the multicultural legal domain</t>
  </si>
  <si>
    <t xml:space="preserve">On copy right problems using open biodeversity taxonomies </t>
  </si>
  <si>
    <t>Loutsaris e.a. (2023)</t>
  </si>
  <si>
    <t>Semantic Interoperability for Legal Information Mapping the European Legislation Identifier (ELI) a</t>
  </si>
  <si>
    <t>Description of Belgian OSLO initiative: very relevant</t>
  </si>
  <si>
    <t>Tammet e.a. (2010)</t>
  </si>
  <si>
    <t>Semantic interoperability framework for Estonian public sector's eServices integration</t>
  </si>
  <si>
    <t>On harmonization of EU language lexicons</t>
  </si>
  <si>
    <t>Herborn e.a. (2008)</t>
  </si>
  <si>
    <t>Semantic interoperability in the BRITE Project Ontologies as a tool for collaboration, cooperation</t>
  </si>
  <si>
    <t>Smart cities with heterogenous datasources, the case of Catania</t>
  </si>
  <si>
    <t>Bartoloni en Francesconi (2010)</t>
  </si>
  <si>
    <t>Sharing knowledge by conceptual mapping The case of EU thesaural interoperability</t>
  </si>
  <si>
    <t>EU ESSSI Project: On using vocabularies (taxanomies) to solve semantic conflics  in social security</t>
  </si>
  <si>
    <t>Loutas e.a. (2011)</t>
  </si>
  <si>
    <t>The Public Service ontology A formal model for describing domain-specific semantics</t>
  </si>
  <si>
    <t xml:space="preserve">IoT interoperability in Japan </t>
  </si>
  <si>
    <t>Akroyd e.a. (2022)</t>
  </si>
  <si>
    <t>Universal Digital Twin Land use</t>
  </si>
  <si>
    <t>Interoperability of Base Registries in Flandres connected to OSLO with description of Base Registries in other EU conountroes</t>
  </si>
  <si>
    <t>Aydinoǧlu en Yomralioǧlu (2010)</t>
  </si>
  <si>
    <t>A harmonised GI model for urban governance</t>
  </si>
  <si>
    <t>Integration of Norwegian cadastral ssystem and landowner system with integration hub</t>
  </si>
  <si>
    <t>Lamharhar e.a. (2014)</t>
  </si>
  <si>
    <t>An e-government knowledge model 'e-customs' case study</t>
  </si>
  <si>
    <t>On Enhancing Quality in Legal Information Indexing. Focussed on multi lingual issues</t>
  </si>
  <si>
    <t>Joo e.a. (2018)</t>
  </si>
  <si>
    <t>Building the core vocabulary of crop names to integrate the vocabularies by multiple government agen</t>
  </si>
  <si>
    <t>Chen e.a. (2005)</t>
  </si>
  <si>
    <t>Government ontology and thesaurus construction A taiwanese experience</t>
  </si>
  <si>
    <t>On combining different legal ontologies</t>
  </si>
  <si>
    <t>Park en Kipp (2019)</t>
  </si>
  <si>
    <t>Library Linked Data Models Library Data in the Semantic Web</t>
  </si>
  <si>
    <t>Describes Estionians X-Road</t>
  </si>
  <si>
    <t>Benaddi e.a. (2021)</t>
  </si>
  <si>
    <t>Ontology Model for Public Services in Morocco Based on 5W1H Approach PSOM-eGovMa</t>
  </si>
  <si>
    <t>Describes the inner workings of the BRITE system when merging ontologies</t>
  </si>
  <si>
    <t>Jahan Miah e.a. (2017)</t>
  </si>
  <si>
    <t>Ontology techniques for representing the problem of discourse Design of solution application perspe</t>
  </si>
  <si>
    <t>Schmitz e.a. (2018)</t>
  </si>
  <si>
    <t>PMKI An European commission action for the interoperability, maintainability and sustainability of</t>
  </si>
  <si>
    <t>Defines the structure of an architecture</t>
  </si>
  <si>
    <t>Petrušić e.a. (2016)</t>
  </si>
  <si>
    <t>Semantic modelling and ontology integration of the open government systems</t>
  </si>
  <si>
    <t>Vitvar e.a. (2010)</t>
  </si>
  <si>
    <t>Semantic technologies for e-government</t>
  </si>
  <si>
    <t>Describes sub sharan government domain ontology</t>
  </si>
  <si>
    <t>Alazemi e.a. (2018)</t>
  </si>
  <si>
    <t>Semantic-based E-government framework based on domain ontologies A case of Kuwait region</t>
  </si>
  <si>
    <t>Mapping of thesauri using A</t>
  </si>
  <si>
    <t>Zhang e.a. (2008)</t>
  </si>
  <si>
    <t>Towards building a semantic grid for E-government applications</t>
  </si>
  <si>
    <t>Semantic interoperability from a social science perspective</t>
  </si>
  <si>
    <t>Viegas e.a. (2020)</t>
  </si>
  <si>
    <t>A Canonical Data Model for Records Management in the Portuguese Public Administration</t>
  </si>
  <si>
    <t>Analyses of the use of the EU Core Vocabularies</t>
  </si>
  <si>
    <t>Bongini e.a. (2025)</t>
  </si>
  <si>
    <t>A Framework for the Integration of BIM Models, Facility Management Services and IoT Data Through Sem</t>
  </si>
  <si>
    <t>On semantic aspects of cross EU communication of Eduction information/proof</t>
  </si>
  <si>
    <t>Yaman e.a. (2021)</t>
  </si>
  <si>
    <t>A SKOS taxonomy of the UN global Geospatial information management data themes</t>
  </si>
  <si>
    <t>On open data in Teheran with an explict implementation</t>
  </si>
  <si>
    <t>Nesi e.a. (2018)</t>
  </si>
  <si>
    <t>An Integrated Smart City Platform</t>
  </si>
  <si>
    <t>Lit. review on how ontlologies can enahce e-government</t>
  </si>
  <si>
    <t>Consoli e.a. (2015)</t>
  </si>
  <si>
    <t>An urban fault reporting and management platform for smart cities</t>
  </si>
  <si>
    <t xml:space="preserve">Describes a public service ontology </t>
  </si>
  <si>
    <t>Frade e.a. (2012)</t>
  </si>
  <si>
    <t>Building semantic interoperability through the federation of semantic asset repositories</t>
  </si>
  <si>
    <t>Thorough anaysis of interoperability issues in BIM</t>
  </si>
  <si>
    <t>Pérez e.a. (2021)</t>
  </si>
  <si>
    <t>C2 Advanced Multi-domain Environment and Live Observation Technologies</t>
  </si>
  <si>
    <t>Methodology for developing ontlogies for FAIR EU Data Spaces</t>
  </si>
  <si>
    <t>Tcharaktchiev e.a. (2020)</t>
  </si>
  <si>
    <t>Cross-border exchange of clinical data using archetype concepts compatible with the international pa</t>
  </si>
  <si>
    <t>Focus on buildung a BIO Bank</t>
  </si>
  <si>
    <t>Leadbetter e.a. (2016)</t>
  </si>
  <si>
    <t>Experiences of a “semantics smackdown”</t>
  </si>
  <si>
    <t>Data integrations and challenges shown with a forrest fire system</t>
  </si>
  <si>
    <t>Yoshida e.a. (2021)</t>
  </si>
  <si>
    <t>Proposals on the Root Data Domain Gateway and System Operations for IoT Data Interoperability</t>
  </si>
  <si>
    <t>On lexical integration in the EU</t>
  </si>
  <si>
    <t>Fonou-Dombeu en Huisman (2011)</t>
  </si>
  <si>
    <t>Semantic-driven E-government A case study of formal representation of government domain ontology</t>
  </si>
  <si>
    <t>Semantic aspects of combining health services</t>
  </si>
  <si>
    <t>Merino-Martinez e.a. (2016)</t>
  </si>
  <si>
    <t>Toward Global Biobank Integration by Implementation of the Minimum Information about BIobank Data Sh</t>
  </si>
  <si>
    <t>Semantic Grid infrastructure to support distributed e-government applications</t>
  </si>
  <si>
    <t>Boonlamp (2017)</t>
  </si>
  <si>
    <t>A linked data approach to planning collaboration amongst local governments in Thailand</t>
  </si>
  <si>
    <t>ontological description of land use</t>
  </si>
  <si>
    <t>Totaal groen:</t>
  </si>
  <si>
    <t>Totaal geel</t>
  </si>
  <si>
    <t>Totaal rood:</t>
  </si>
  <si>
    <t>EC1 – Off-topic</t>
  </si>
  <si>
    <t>EC2 – Tool- or implementation-only focus</t>
  </si>
  <si>
    <t>EC3 – Narrow domain specificity</t>
  </si>
  <si>
    <t>EC4 – Non-scholarly publication type</t>
  </si>
  <si>
    <t>Francesca (2016)</t>
  </si>
  <si>
    <t>Spatial ontologies for architectural heritage</t>
  </si>
  <si>
    <t>Fahl-Spiewack en Krämer (2009)</t>
  </si>
  <si>
    <t>The EU Services Directive - Reusing Existing Resources In Public Sector Interoperability</t>
  </si>
  <si>
    <t>Ronzhin (2023)</t>
  </si>
  <si>
    <t>Semantic enrichment and exploratory search of spatiotemporal data</t>
  </si>
  <si>
    <t>Artificial Intelligence for Interoperability in the European Public Sector</t>
  </si>
  <si>
    <t>Wiersma (2020)</t>
  </si>
  <si>
    <t>Towards the linking of geospatial government data: A study on the semantic harmonisation between data from Dutch geo-registries</t>
  </si>
  <si>
    <t>Martini (2013)</t>
  </si>
  <si>
    <t>Bibliographic standards and Linked Data. Towards a collaboration between cultural and commercial sectors</t>
  </si>
  <si>
    <t>Bettahar e.a. (2009)</t>
  </si>
  <si>
    <t>Towards a Semantic Interoperability in an e‑Government Application</t>
  </si>
  <si>
    <t>Corrêa e.a. (2014)</t>
  </si>
  <si>
    <t>A Fuzzy Ontology-Driven Approach to Semantic Interoperability in e-Government Big Data</t>
  </si>
  <si>
    <t>Dombeu en Huisman (2011)</t>
  </si>
  <si>
    <t>Semantic-Driven e-Government: Application of Uschold and King Ontology Building Methodology for Semantic Ontology Models Development</t>
  </si>
  <si>
    <t>Torres e.a. (2024)</t>
  </si>
  <si>
    <t>Ontology Development for Asset Concealment Investigation: A Methodological Approach and Case Study in Asset Recovery</t>
  </si>
  <si>
    <t>Sánchez e.a. (2008)</t>
  </si>
  <si>
    <t>Semantic Interoperability Middleware – Enabling collaborative networks in public sector</t>
  </si>
  <si>
    <t>Vitiello (2013)</t>
  </si>
  <si>
    <t>Memetic algorithms for ontology alignment</t>
  </si>
  <si>
    <t>Bellini e.a. (2014)</t>
  </si>
  <si>
    <t>Km4City ontology building vs data harvesting and cleaning for smart-city services</t>
  </si>
  <si>
    <t>Jayan (2016)</t>
  </si>
  <si>
    <t>Real-time Multi-scale Smart Energy Management and Optimisation (REMO) for buildings and their district</t>
  </si>
  <si>
    <t>Ecker en Williams-Jones (2012)</t>
  </si>
  <si>
    <t>Open Innovation in Drug Discovery</t>
  </si>
  <si>
    <t>Crucianu e.a. (2025)</t>
  </si>
  <si>
    <t>D2.2: CVDLINK Full System Design [Abstract]</t>
  </si>
  <si>
    <t>Surianarayanan (2026)</t>
  </si>
  <si>
    <t>Learning-Based Semantic Alignment in Cross-Institution Health Data Exchange</t>
  </si>
  <si>
    <t>Knoblock e.a. (2025)</t>
  </si>
  <si>
    <t>Exploiting LLMs and Semantic Technologies to Build a Knowledge Graph of Historical Mining Data</t>
  </si>
  <si>
    <t>Gugliotta e.a. (2005)</t>
  </si>
  <si>
    <t>A conceptual model for semantically-based e-government portals</t>
  </si>
  <si>
    <t>Obrst (2003)</t>
  </si>
  <si>
    <t>Ontologies for semantically interoperable systems</t>
  </si>
  <si>
    <t>Heflin en Pan (2010)</t>
  </si>
  <si>
    <t>Semantic Integration: The Hawkeye Approach</t>
  </si>
  <si>
    <t>Partridge e.a. (2011)</t>
  </si>
  <si>
    <t>A novel ontological approach to semantic interoperability between legacy air defence command and control systems</t>
  </si>
  <si>
    <t>Pease en Niles (2002)</t>
  </si>
  <si>
    <t>IEEE standard upper ontology: a progress report</t>
  </si>
  <si>
    <t>Kulkarni e.a. (2026)</t>
  </si>
  <si>
    <t>Sadrusha: An Administrative Data Twin Framework for SDG-Aligned Decision Making</t>
  </si>
  <si>
    <t>Guimarães e.a. (2022)</t>
  </si>
  <si>
    <t>Domain Vocabulary Alignment using AML and LogMap</t>
  </si>
  <si>
    <t>GEO-RDF FRAMEWORK FOR REPRESENTING THE SPATIAL INFORMATION OF BANGLADESH</t>
  </si>
  <si>
    <t>Rahman e.a. (2025)</t>
  </si>
  <si>
    <t>Luca e.a. (2023)</t>
  </si>
  <si>
    <t>Combining and presenting data on the city of Florence</t>
  </si>
  <si>
    <t>On the Terragov project</t>
  </si>
  <si>
    <t>Fuzzy ontology creation from unstructures data</t>
  </si>
  <si>
    <t>No paper present</t>
  </si>
  <si>
    <t>On ontology building</t>
  </si>
  <si>
    <t>Brandenburg builds a ontlogy accoring to the EU rules</t>
  </si>
  <si>
    <t>Thesis on using gegraphical ontologies for cultrual heratige</t>
  </si>
  <si>
    <t>Using, legacy, Workflow, Service, life-event ontlogies to create a e-gov ontology</t>
  </si>
  <si>
    <t>Non English</t>
  </si>
  <si>
    <t>About integration of large datasets and performance</t>
  </si>
  <si>
    <t>REMO for smart Energy Management</t>
  </si>
  <si>
    <t>Building a huge mineral database and ontlogy</t>
  </si>
  <si>
    <t>Building a data twin in India</t>
  </si>
  <si>
    <t>EU Report on using AI for interoperability</t>
  </si>
  <si>
    <t>Description of collaboration in Italy</t>
  </si>
  <si>
    <t>Introduces loosly couplesd information world</t>
  </si>
  <si>
    <t>Building a military system with a semantic layer</t>
  </si>
  <si>
    <t xml:space="preserve">Discussion of th eupper ontlogy </t>
  </si>
  <si>
    <t>Using Geo ontlogies in Bangladesh</t>
  </si>
  <si>
    <t>Dissertatie over het verrijken van geodata om het semantisch te kunnen linken</t>
  </si>
  <si>
    <t>Good foundation for semantic challenges and solutions</t>
  </si>
  <si>
    <t xml:space="preserve">Aligning semantics in healthcare </t>
  </si>
  <si>
    <t>Building a ontology to detect fraud</t>
  </si>
  <si>
    <t>Dissertation on ontology alignment</t>
  </si>
  <si>
    <t>No Full paper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</si>
</sst>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2"/>
      <color indexed="8"/>
      <name val="Aptos"/>
    </font>
    <font>
      <sz val="12"/>
      <color indexed="8"/>
      <name val="Aptos"/>
    </font>
    <font>
      <sz val="10"/>
      <color indexed="8"/>
      <name val="Helvetica Neue"/>
      <family val="2"/>
    </font>
    <font>
      <sz val="12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>
      <alignment vertical="top" wrapText="1"/>
    </xf>
  </cellStyleXfs>
  <cellXfs count="29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2" fillId="0" borderId="0" xfId="0" applyFont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0" fontId="2" fillId="0" borderId="4" xfId="0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0" fontId="2" fillId="0" borderId="7" xfId="0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2" fillId="0" borderId="8" xfId="0" applyNumberFormat="1" applyFont="1" applyBorder="1" applyAlignment="1">
      <alignment vertical="top"/>
    </xf>
    <xf numFmtId="0" fontId="3" fillId="0" borderId="0" xfId="0" applyFont="1">
      <alignment vertical="top" wrapText="1"/>
    </xf>
    <xf numFmtId="49" fontId="2" fillId="0" borderId="7" xfId="0" applyNumberFormat="1" applyFont="1" applyBorder="1">
      <alignment vertical="top" wrapText="1"/>
    </xf>
    <xf numFmtId="49" fontId="1" fillId="2" borderId="0" xfId="0" applyNumberFormat="1" applyFont="1" applyFill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>
      <alignment vertical="top" wrapText="1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0" fillId="0" borderId="0" xfId="0" applyAlignment="1"/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49" fontId="1" fillId="3" borderId="2" xfId="0" applyNumberFormat="1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Standaard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7"/>
  <sheetViews>
    <sheetView showGridLines="0" tabSelected="1" workbookViewId="0">
      <selection activeCell="A8" sqref="A8"/>
    </sheetView>
  </sheetViews>
  <sheetFormatPr baseColWidth="10" defaultColWidth="8.33203125" defaultRowHeight="20" customHeight="1" x14ac:dyDescent="0.15"/>
  <cols>
    <col min="1" max="1" width="33.5" style="2" bestFit="1" customWidth="1"/>
    <col min="2" max="2" width="93.83203125" style="2" customWidth="1"/>
    <col min="3" max="3" width="27.5" style="2" customWidth="1"/>
    <col min="4" max="4" width="26.1640625" style="2" customWidth="1"/>
    <col min="5" max="5" width="29" style="2" customWidth="1"/>
    <col min="6" max="6" width="33.33203125" style="2" customWidth="1"/>
    <col min="7" max="7" width="41.1640625" style="2" customWidth="1"/>
    <col min="8" max="8" width="14.6640625" style="2" bestFit="1" customWidth="1"/>
    <col min="9" max="9" width="48" style="2" customWidth="1"/>
    <col min="10" max="10" width="117" style="2" customWidth="1"/>
    <col min="11" max="11" width="28.1640625" style="2" customWidth="1"/>
    <col min="12" max="12" width="8.33203125" style="2" customWidth="1"/>
    <col min="13" max="16384" width="8.33203125" style="2"/>
  </cols>
  <sheetData>
    <row r="1" spans="1:11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4" t="s">
        <v>9</v>
      </c>
      <c r="K1" s="14" t="s">
        <v>10</v>
      </c>
    </row>
    <row r="2" spans="1:11" ht="20.25" customHeight="1" x14ac:dyDescent="0.15">
      <c r="A2" s="3" t="s">
        <v>11</v>
      </c>
      <c r="B2" s="4" t="s">
        <v>12</v>
      </c>
      <c r="C2" s="11"/>
      <c r="D2" s="5">
        <v>2</v>
      </c>
      <c r="E2" s="5">
        <v>2</v>
      </c>
      <c r="F2" s="5">
        <v>2</v>
      </c>
      <c r="G2" s="5">
        <v>2</v>
      </c>
      <c r="H2" s="5">
        <f t="shared" ref="H2:H33" si="0">SUM(D2:G2)</f>
        <v>8</v>
      </c>
      <c r="I2" s="6"/>
      <c r="J2" s="15"/>
      <c r="K2" s="15"/>
    </row>
    <row r="3" spans="1:11" ht="20" customHeight="1" x14ac:dyDescent="0.15">
      <c r="A3" s="7" t="s">
        <v>13</v>
      </c>
      <c r="B3" s="8" t="s">
        <v>14</v>
      </c>
      <c r="C3" s="11"/>
      <c r="D3" s="9">
        <v>2</v>
      </c>
      <c r="E3" s="9">
        <v>2</v>
      </c>
      <c r="F3" s="9">
        <v>2</v>
      </c>
      <c r="G3" s="9">
        <v>2</v>
      </c>
      <c r="H3" s="5">
        <f t="shared" si="0"/>
        <v>8</v>
      </c>
      <c r="I3" s="10"/>
      <c r="J3" s="15"/>
      <c r="K3" s="15"/>
    </row>
    <row r="4" spans="1:11" ht="20" customHeight="1" x14ac:dyDescent="0.15">
      <c r="A4" s="7" t="s">
        <v>15</v>
      </c>
      <c r="B4" s="8" t="s">
        <v>16</v>
      </c>
      <c r="C4" s="11"/>
      <c r="D4" s="9">
        <v>2</v>
      </c>
      <c r="E4" s="9">
        <v>2</v>
      </c>
      <c r="F4" s="9">
        <v>2</v>
      </c>
      <c r="G4" s="9">
        <v>2</v>
      </c>
      <c r="H4" s="5">
        <f t="shared" si="0"/>
        <v>8</v>
      </c>
      <c r="I4" s="10"/>
      <c r="J4" s="15" t="s">
        <v>17</v>
      </c>
      <c r="K4" s="15"/>
    </row>
    <row r="5" spans="1:11" ht="20" customHeight="1" x14ac:dyDescent="0.15">
      <c r="A5" s="7" t="s">
        <v>18</v>
      </c>
      <c r="B5" s="8" t="s">
        <v>19</v>
      </c>
      <c r="C5" s="11"/>
      <c r="D5" s="9">
        <v>2</v>
      </c>
      <c r="E5" s="9">
        <v>2</v>
      </c>
      <c r="F5" s="9">
        <v>2</v>
      </c>
      <c r="G5" s="9">
        <v>2</v>
      </c>
      <c r="H5" s="5">
        <f t="shared" si="0"/>
        <v>8</v>
      </c>
      <c r="I5" s="10"/>
      <c r="J5" s="15" t="s">
        <v>17</v>
      </c>
      <c r="K5" s="15"/>
    </row>
    <row r="6" spans="1:11" ht="20" customHeight="1" x14ac:dyDescent="0.15">
      <c r="A6" s="7" t="s">
        <v>20</v>
      </c>
      <c r="B6" s="8" t="s">
        <v>21</v>
      </c>
      <c r="C6" s="11"/>
      <c r="D6" s="9">
        <v>2</v>
      </c>
      <c r="E6" s="9">
        <v>2</v>
      </c>
      <c r="F6" s="9">
        <v>2</v>
      </c>
      <c r="G6" s="9">
        <v>2</v>
      </c>
      <c r="H6" s="5">
        <f t="shared" si="0"/>
        <v>8</v>
      </c>
      <c r="I6" s="10"/>
      <c r="J6" s="15" t="s">
        <v>22</v>
      </c>
      <c r="K6" s="15"/>
    </row>
    <row r="7" spans="1:11" ht="20" customHeight="1" x14ac:dyDescent="0.15">
      <c r="A7" s="7" t="s">
        <v>23</v>
      </c>
      <c r="B7" s="8" t="s">
        <v>24</v>
      </c>
      <c r="C7" s="11"/>
      <c r="D7" s="9">
        <v>2</v>
      </c>
      <c r="E7" s="9">
        <v>2</v>
      </c>
      <c r="F7" s="9">
        <v>2</v>
      </c>
      <c r="G7" s="9">
        <v>2</v>
      </c>
      <c r="H7" s="5">
        <f t="shared" si="0"/>
        <v>8</v>
      </c>
      <c r="I7" s="10"/>
      <c r="J7" s="15" t="s">
        <v>25</v>
      </c>
      <c r="K7" s="15"/>
    </row>
    <row r="8" spans="1:11" ht="20" customHeight="1" x14ac:dyDescent="0.15">
      <c r="A8" s="7" t="s">
        <v>26</v>
      </c>
      <c r="B8" s="8" t="s">
        <v>27</v>
      </c>
      <c r="C8" s="11"/>
      <c r="D8" s="9">
        <v>2</v>
      </c>
      <c r="E8" s="9">
        <v>2</v>
      </c>
      <c r="F8" s="9">
        <v>2</v>
      </c>
      <c r="G8" s="9">
        <v>2</v>
      </c>
      <c r="H8" s="5">
        <f t="shared" si="0"/>
        <v>8</v>
      </c>
      <c r="I8" s="10"/>
      <c r="J8" s="15" t="s">
        <v>28</v>
      </c>
      <c r="K8" s="15"/>
    </row>
    <row r="9" spans="1:11" ht="20" customHeight="1" x14ac:dyDescent="0.15">
      <c r="A9" s="7" t="s">
        <v>29</v>
      </c>
      <c r="B9" s="8" t="s">
        <v>30</v>
      </c>
      <c r="C9" s="11"/>
      <c r="D9" s="9">
        <v>2</v>
      </c>
      <c r="E9" s="9">
        <v>2</v>
      </c>
      <c r="F9" s="9">
        <v>1</v>
      </c>
      <c r="G9" s="9">
        <v>2</v>
      </c>
      <c r="H9" s="5">
        <f t="shared" si="0"/>
        <v>7</v>
      </c>
      <c r="I9" s="10"/>
      <c r="J9" s="15" t="s">
        <v>31</v>
      </c>
      <c r="K9" s="15"/>
    </row>
    <row r="10" spans="1:11" ht="20" customHeight="1" x14ac:dyDescent="0.15">
      <c r="A10" s="7" t="s">
        <v>32</v>
      </c>
      <c r="B10" s="8" t="s">
        <v>33</v>
      </c>
      <c r="C10" s="11"/>
      <c r="D10" s="9">
        <v>2</v>
      </c>
      <c r="E10" s="9">
        <v>2</v>
      </c>
      <c r="F10" s="9">
        <v>1</v>
      </c>
      <c r="G10" s="9">
        <v>2</v>
      </c>
      <c r="H10" s="5">
        <f t="shared" si="0"/>
        <v>7</v>
      </c>
      <c r="I10" s="10"/>
      <c r="J10" s="15" t="s">
        <v>34</v>
      </c>
      <c r="K10" s="15"/>
    </row>
    <row r="11" spans="1:11" ht="20" customHeight="1" x14ac:dyDescent="0.15">
      <c r="A11" s="7" t="s">
        <v>35</v>
      </c>
      <c r="B11" s="8" t="s">
        <v>36</v>
      </c>
      <c r="C11" s="11"/>
      <c r="D11" s="9">
        <v>2</v>
      </c>
      <c r="E11" s="9">
        <v>2</v>
      </c>
      <c r="F11" s="9">
        <v>2</v>
      </c>
      <c r="G11" s="9">
        <v>1</v>
      </c>
      <c r="H11" s="5">
        <f t="shared" si="0"/>
        <v>7</v>
      </c>
      <c r="I11" s="10"/>
      <c r="J11" s="15" t="s">
        <v>37</v>
      </c>
      <c r="K11" s="15"/>
    </row>
    <row r="12" spans="1:11" ht="20" customHeight="1" x14ac:dyDescent="0.15">
      <c r="A12" s="7" t="s">
        <v>38</v>
      </c>
      <c r="B12" s="8" t="s">
        <v>39</v>
      </c>
      <c r="C12" s="11"/>
      <c r="D12" s="9">
        <v>2</v>
      </c>
      <c r="E12" s="9">
        <v>1</v>
      </c>
      <c r="F12" s="9">
        <v>2</v>
      </c>
      <c r="G12" s="9">
        <v>2</v>
      </c>
      <c r="H12" s="5">
        <f t="shared" si="0"/>
        <v>7</v>
      </c>
      <c r="I12" s="10"/>
      <c r="J12" s="15" t="s">
        <v>40</v>
      </c>
      <c r="K12" s="15"/>
    </row>
    <row r="13" spans="1:11" ht="20" customHeight="1" x14ac:dyDescent="0.15">
      <c r="A13" s="7" t="s">
        <v>41</v>
      </c>
      <c r="B13" s="8" t="s">
        <v>42</v>
      </c>
      <c r="C13" s="11"/>
      <c r="D13" s="9">
        <v>2</v>
      </c>
      <c r="E13" s="9">
        <v>1</v>
      </c>
      <c r="F13" s="9">
        <v>2</v>
      </c>
      <c r="G13" s="9">
        <v>2</v>
      </c>
      <c r="H13" s="5">
        <f t="shared" si="0"/>
        <v>7</v>
      </c>
      <c r="I13" s="10"/>
      <c r="J13" s="15" t="s">
        <v>43</v>
      </c>
      <c r="K13" s="15"/>
    </row>
    <row r="14" spans="1:11" ht="20" customHeight="1" x14ac:dyDescent="0.15">
      <c r="A14" s="7" t="s">
        <v>44</v>
      </c>
      <c r="B14" s="8" t="s">
        <v>45</v>
      </c>
      <c r="C14" s="11"/>
      <c r="D14" s="9">
        <v>2</v>
      </c>
      <c r="E14" s="9">
        <v>2</v>
      </c>
      <c r="F14" s="9">
        <v>1</v>
      </c>
      <c r="G14" s="9">
        <v>2</v>
      </c>
      <c r="H14" s="5">
        <f t="shared" si="0"/>
        <v>7</v>
      </c>
      <c r="I14" s="10"/>
      <c r="J14" s="15" t="s">
        <v>46</v>
      </c>
      <c r="K14" s="15"/>
    </row>
    <row r="15" spans="1:11" ht="20" customHeight="1" x14ac:dyDescent="0.15">
      <c r="A15" s="7" t="s">
        <v>47</v>
      </c>
      <c r="B15" s="8" t="s">
        <v>48</v>
      </c>
      <c r="C15" s="11"/>
      <c r="D15" s="9">
        <v>2</v>
      </c>
      <c r="E15" s="9">
        <v>2</v>
      </c>
      <c r="F15" s="9">
        <v>1</v>
      </c>
      <c r="G15" s="9">
        <v>2</v>
      </c>
      <c r="H15" s="5">
        <f t="shared" si="0"/>
        <v>7</v>
      </c>
      <c r="I15" s="10"/>
      <c r="J15" s="15" t="s">
        <v>49</v>
      </c>
      <c r="K15" s="15"/>
    </row>
    <row r="16" spans="1:11" ht="20" customHeight="1" x14ac:dyDescent="0.15">
      <c r="A16" s="7" t="s">
        <v>50</v>
      </c>
      <c r="B16" s="8" t="s">
        <v>51</v>
      </c>
      <c r="C16" s="11"/>
      <c r="D16" s="9">
        <v>1</v>
      </c>
      <c r="E16" s="9">
        <v>2</v>
      </c>
      <c r="F16" s="9">
        <v>2</v>
      </c>
      <c r="G16" s="9">
        <v>2</v>
      </c>
      <c r="H16" s="5">
        <f t="shared" si="0"/>
        <v>7</v>
      </c>
      <c r="I16" s="10"/>
      <c r="J16" s="15" t="s">
        <v>52</v>
      </c>
      <c r="K16" s="15"/>
    </row>
    <row r="17" spans="1:11" ht="20" customHeight="1" x14ac:dyDescent="0.15">
      <c r="A17" s="7" t="s">
        <v>53</v>
      </c>
      <c r="B17" s="8" t="s">
        <v>54</v>
      </c>
      <c r="C17" s="11"/>
      <c r="D17" s="9">
        <v>2</v>
      </c>
      <c r="E17" s="9">
        <v>1</v>
      </c>
      <c r="F17" s="9">
        <v>2</v>
      </c>
      <c r="G17" s="9">
        <v>2</v>
      </c>
      <c r="H17" s="5">
        <f t="shared" si="0"/>
        <v>7</v>
      </c>
      <c r="I17" s="10"/>
      <c r="J17" s="15"/>
      <c r="K17" s="15"/>
    </row>
    <row r="18" spans="1:11" ht="20" customHeight="1" x14ac:dyDescent="0.15">
      <c r="A18" s="7" t="s">
        <v>55</v>
      </c>
      <c r="B18" s="8" t="s">
        <v>56</v>
      </c>
      <c r="C18" s="11"/>
      <c r="D18" s="9">
        <v>2</v>
      </c>
      <c r="E18" s="9">
        <v>2</v>
      </c>
      <c r="F18" s="9">
        <v>1</v>
      </c>
      <c r="G18" s="9">
        <v>2</v>
      </c>
      <c r="H18" s="5">
        <f t="shared" si="0"/>
        <v>7</v>
      </c>
      <c r="I18" s="10"/>
      <c r="J18" s="15"/>
      <c r="K18" s="15"/>
    </row>
    <row r="19" spans="1:11" ht="20" customHeight="1" x14ac:dyDescent="0.15">
      <c r="A19" s="7" t="s">
        <v>57</v>
      </c>
      <c r="B19" s="8" t="s">
        <v>58</v>
      </c>
      <c r="C19" s="11"/>
      <c r="D19" s="9">
        <v>2</v>
      </c>
      <c r="E19" s="9">
        <v>2</v>
      </c>
      <c r="F19" s="9">
        <v>1</v>
      </c>
      <c r="G19" s="9">
        <v>2</v>
      </c>
      <c r="H19" s="5">
        <f t="shared" si="0"/>
        <v>7</v>
      </c>
      <c r="I19" s="10"/>
      <c r="J19" s="15" t="s">
        <v>59</v>
      </c>
      <c r="K19" s="15"/>
    </row>
    <row r="20" spans="1:11" ht="20" customHeight="1" x14ac:dyDescent="0.15">
      <c r="A20" s="7" t="s">
        <v>60</v>
      </c>
      <c r="B20" s="8" t="s">
        <v>61</v>
      </c>
      <c r="C20" s="11"/>
      <c r="D20" s="9">
        <v>2</v>
      </c>
      <c r="E20" s="9">
        <v>2</v>
      </c>
      <c r="F20" s="9">
        <v>2</v>
      </c>
      <c r="G20" s="9">
        <v>1</v>
      </c>
      <c r="H20" s="5">
        <f t="shared" si="0"/>
        <v>7</v>
      </c>
      <c r="I20" s="10"/>
      <c r="J20" s="15"/>
      <c r="K20" s="15"/>
    </row>
    <row r="21" spans="1:11" ht="20" customHeight="1" x14ac:dyDescent="0.15">
      <c r="A21" s="7" t="s">
        <v>62</v>
      </c>
      <c r="B21" s="8" t="s">
        <v>63</v>
      </c>
      <c r="C21" s="11"/>
      <c r="D21" s="9">
        <v>2</v>
      </c>
      <c r="E21" s="9">
        <v>2</v>
      </c>
      <c r="F21" s="9">
        <v>2</v>
      </c>
      <c r="G21" s="9">
        <v>1</v>
      </c>
      <c r="H21" s="5">
        <f t="shared" si="0"/>
        <v>7</v>
      </c>
      <c r="I21" s="10"/>
      <c r="J21" s="15" t="s">
        <v>64</v>
      </c>
      <c r="K21" s="15"/>
    </row>
    <row r="22" spans="1:11" ht="20" customHeight="1" x14ac:dyDescent="0.15">
      <c r="A22" s="7" t="s">
        <v>65</v>
      </c>
      <c r="B22" s="8" t="s">
        <v>66</v>
      </c>
      <c r="C22" s="11"/>
      <c r="D22" s="9">
        <v>2</v>
      </c>
      <c r="E22" s="9">
        <v>2</v>
      </c>
      <c r="F22" s="9">
        <v>1</v>
      </c>
      <c r="G22" s="9">
        <v>2</v>
      </c>
      <c r="H22" s="5">
        <f t="shared" si="0"/>
        <v>7</v>
      </c>
      <c r="I22" s="10"/>
      <c r="J22" s="15" t="s">
        <v>67</v>
      </c>
      <c r="K22" s="15"/>
    </row>
    <row r="23" spans="1:11" ht="20" customHeight="1" x14ac:dyDescent="0.15">
      <c r="A23" s="7" t="s">
        <v>68</v>
      </c>
      <c r="B23" s="8" t="s">
        <v>69</v>
      </c>
      <c r="C23" s="11"/>
      <c r="D23" s="9">
        <v>1</v>
      </c>
      <c r="E23" s="9">
        <v>2</v>
      </c>
      <c r="F23" s="9">
        <v>2</v>
      </c>
      <c r="G23" s="9">
        <v>2</v>
      </c>
      <c r="H23" s="5">
        <f t="shared" si="0"/>
        <v>7</v>
      </c>
      <c r="I23" s="10"/>
      <c r="J23" s="15" t="s">
        <v>70</v>
      </c>
      <c r="K23" s="15"/>
    </row>
    <row r="24" spans="1:11" ht="20" customHeight="1" x14ac:dyDescent="0.15">
      <c r="A24" s="7" t="s">
        <v>71</v>
      </c>
      <c r="B24" s="8" t="s">
        <v>72</v>
      </c>
      <c r="C24" s="11"/>
      <c r="D24" s="9">
        <v>2</v>
      </c>
      <c r="E24" s="9">
        <v>2</v>
      </c>
      <c r="F24" s="9">
        <v>1</v>
      </c>
      <c r="G24" s="9">
        <v>2</v>
      </c>
      <c r="H24" s="5">
        <f t="shared" si="0"/>
        <v>7</v>
      </c>
      <c r="I24" s="10"/>
      <c r="J24" s="16" t="s">
        <v>73</v>
      </c>
      <c r="K24" s="15"/>
    </row>
    <row r="25" spans="1:11" ht="20" customHeight="1" x14ac:dyDescent="0.15">
      <c r="A25" s="7" t="s">
        <v>74</v>
      </c>
      <c r="B25" s="8" t="s">
        <v>75</v>
      </c>
      <c r="C25" s="11"/>
      <c r="D25" s="9">
        <v>2</v>
      </c>
      <c r="E25" s="9">
        <v>2</v>
      </c>
      <c r="F25" s="9">
        <v>1</v>
      </c>
      <c r="G25" s="9">
        <v>2</v>
      </c>
      <c r="H25" s="5">
        <f t="shared" si="0"/>
        <v>7</v>
      </c>
      <c r="I25" s="10"/>
      <c r="J25" s="15" t="s">
        <v>76</v>
      </c>
      <c r="K25" s="15"/>
    </row>
    <row r="26" spans="1:11" ht="20" customHeight="1" x14ac:dyDescent="0.15">
      <c r="A26" s="7" t="s">
        <v>77</v>
      </c>
      <c r="B26" s="8" t="s">
        <v>78</v>
      </c>
      <c r="C26" s="11"/>
      <c r="D26" s="9">
        <v>2</v>
      </c>
      <c r="E26" s="9">
        <v>2</v>
      </c>
      <c r="F26" s="9">
        <v>1</v>
      </c>
      <c r="G26" s="9">
        <v>2</v>
      </c>
      <c r="H26" s="5">
        <f t="shared" si="0"/>
        <v>7</v>
      </c>
      <c r="I26" s="10"/>
      <c r="J26" s="15" t="s">
        <v>79</v>
      </c>
      <c r="K26" s="15"/>
    </row>
    <row r="27" spans="1:11" ht="20" customHeight="1" x14ac:dyDescent="0.15">
      <c r="A27" s="7" t="s">
        <v>80</v>
      </c>
      <c r="B27" s="8" t="s">
        <v>81</v>
      </c>
      <c r="C27" s="11"/>
      <c r="D27" s="9">
        <v>2</v>
      </c>
      <c r="E27" s="9">
        <v>2</v>
      </c>
      <c r="F27" s="9">
        <v>1</v>
      </c>
      <c r="G27" s="9">
        <v>2</v>
      </c>
      <c r="H27" s="5">
        <f t="shared" si="0"/>
        <v>7</v>
      </c>
      <c r="I27" s="10"/>
      <c r="J27" s="15"/>
      <c r="K27" s="15"/>
    </row>
    <row r="28" spans="1:11" ht="20" customHeight="1" x14ac:dyDescent="0.15">
      <c r="A28" s="7" t="s">
        <v>82</v>
      </c>
      <c r="B28" s="8" t="s">
        <v>83</v>
      </c>
      <c r="C28" s="11"/>
      <c r="D28" s="9">
        <v>1</v>
      </c>
      <c r="E28" s="9">
        <v>2</v>
      </c>
      <c r="F28" s="9">
        <v>2</v>
      </c>
      <c r="G28" s="9">
        <v>2</v>
      </c>
      <c r="H28" s="5">
        <f t="shared" si="0"/>
        <v>7</v>
      </c>
      <c r="I28" s="10"/>
      <c r="J28" s="15" t="s">
        <v>84</v>
      </c>
      <c r="K28" s="15"/>
    </row>
    <row r="29" spans="1:11" ht="20" customHeight="1" x14ac:dyDescent="0.15">
      <c r="A29" s="7" t="s">
        <v>85</v>
      </c>
      <c r="B29" s="8" t="s">
        <v>86</v>
      </c>
      <c r="C29" s="11"/>
      <c r="D29" s="9">
        <v>2</v>
      </c>
      <c r="E29" s="9">
        <v>1</v>
      </c>
      <c r="F29" s="9">
        <v>2</v>
      </c>
      <c r="G29" s="9">
        <v>2</v>
      </c>
      <c r="H29" s="5">
        <f t="shared" si="0"/>
        <v>7</v>
      </c>
      <c r="I29" s="10"/>
      <c r="J29" s="15" t="s">
        <v>87</v>
      </c>
      <c r="K29" s="15"/>
    </row>
    <row r="30" spans="1:11" ht="20" customHeight="1" x14ac:dyDescent="0.15">
      <c r="A30" s="7" t="s">
        <v>88</v>
      </c>
      <c r="B30" s="8" t="s">
        <v>89</v>
      </c>
      <c r="C30" s="11"/>
      <c r="D30" s="9">
        <v>2</v>
      </c>
      <c r="E30" s="9">
        <v>2</v>
      </c>
      <c r="F30" s="9">
        <v>1</v>
      </c>
      <c r="G30" s="9">
        <v>2</v>
      </c>
      <c r="H30" s="5">
        <f t="shared" si="0"/>
        <v>7</v>
      </c>
      <c r="I30" s="10"/>
      <c r="J30" s="15" t="s">
        <v>90</v>
      </c>
      <c r="K30" s="15"/>
    </row>
    <row r="31" spans="1:11" ht="20" customHeight="1" x14ac:dyDescent="0.15">
      <c r="A31" s="7" t="s">
        <v>91</v>
      </c>
      <c r="B31" s="8" t="s">
        <v>92</v>
      </c>
      <c r="C31" s="11"/>
      <c r="D31" s="9">
        <v>2</v>
      </c>
      <c r="E31" s="9">
        <v>2</v>
      </c>
      <c r="F31" s="9">
        <v>1</v>
      </c>
      <c r="G31" s="9">
        <v>2</v>
      </c>
      <c r="H31" s="5">
        <f t="shared" si="0"/>
        <v>7</v>
      </c>
      <c r="I31" s="10"/>
      <c r="J31" s="15"/>
      <c r="K31" s="15"/>
    </row>
    <row r="32" spans="1:11" ht="20" customHeight="1" x14ac:dyDescent="0.15">
      <c r="A32" s="7" t="s">
        <v>93</v>
      </c>
      <c r="B32" s="8" t="s">
        <v>94</v>
      </c>
      <c r="C32" s="11" t="s">
        <v>95</v>
      </c>
      <c r="D32" s="9">
        <v>1</v>
      </c>
      <c r="E32" s="9">
        <v>2</v>
      </c>
      <c r="F32" s="9">
        <v>2</v>
      </c>
      <c r="G32" s="9">
        <v>2</v>
      </c>
      <c r="H32" s="5">
        <f t="shared" si="0"/>
        <v>7</v>
      </c>
      <c r="I32" s="10"/>
      <c r="J32" s="15"/>
      <c r="K32" s="15"/>
    </row>
    <row r="33" spans="1:11" ht="20" customHeight="1" x14ac:dyDescent="0.15">
      <c r="A33" s="7" t="s">
        <v>96</v>
      </c>
      <c r="B33" s="8" t="s">
        <v>97</v>
      </c>
      <c r="C33" s="11"/>
      <c r="D33" s="9">
        <v>2</v>
      </c>
      <c r="E33" s="9">
        <v>2</v>
      </c>
      <c r="F33" s="9">
        <v>2</v>
      </c>
      <c r="G33" s="9">
        <v>1</v>
      </c>
      <c r="H33" s="5">
        <f t="shared" si="0"/>
        <v>7</v>
      </c>
      <c r="I33" s="10"/>
      <c r="J33" s="15"/>
      <c r="K33" s="15"/>
    </row>
    <row r="34" spans="1:11" ht="20" customHeight="1" x14ac:dyDescent="0.15">
      <c r="A34" s="7" t="s">
        <v>98</v>
      </c>
      <c r="B34" s="8" t="s">
        <v>99</v>
      </c>
      <c r="C34" s="11"/>
      <c r="D34" s="9">
        <v>2</v>
      </c>
      <c r="E34" s="9">
        <v>2</v>
      </c>
      <c r="F34" s="9">
        <v>1</v>
      </c>
      <c r="G34" s="9">
        <v>2</v>
      </c>
      <c r="H34" s="5">
        <f t="shared" ref="H34:H65" si="1">SUM(D34:G34)</f>
        <v>7</v>
      </c>
      <c r="I34" s="10"/>
      <c r="J34" s="15" t="s">
        <v>100</v>
      </c>
      <c r="K34" s="15"/>
    </row>
    <row r="35" spans="1:11" ht="20" customHeight="1" x14ac:dyDescent="0.15">
      <c r="A35" s="7" t="s">
        <v>101</v>
      </c>
      <c r="B35" s="8" t="s">
        <v>102</v>
      </c>
      <c r="C35" s="11"/>
      <c r="D35" s="9">
        <v>2</v>
      </c>
      <c r="E35" s="9">
        <v>2</v>
      </c>
      <c r="F35" s="9">
        <v>1</v>
      </c>
      <c r="G35" s="9">
        <v>2</v>
      </c>
      <c r="H35" s="5">
        <f t="shared" si="1"/>
        <v>7</v>
      </c>
      <c r="I35" s="10"/>
      <c r="J35" s="15"/>
      <c r="K35" s="15"/>
    </row>
    <row r="36" spans="1:11" ht="20" customHeight="1" x14ac:dyDescent="0.15">
      <c r="A36" s="7" t="s">
        <v>103</v>
      </c>
      <c r="B36" s="8" t="s">
        <v>104</v>
      </c>
      <c r="C36" s="11"/>
      <c r="D36" s="9">
        <v>2</v>
      </c>
      <c r="E36" s="9">
        <v>2</v>
      </c>
      <c r="F36" s="9">
        <v>1</v>
      </c>
      <c r="G36" s="9">
        <v>2</v>
      </c>
      <c r="H36" s="5">
        <f t="shared" si="1"/>
        <v>7</v>
      </c>
      <c r="I36" s="10"/>
      <c r="J36" s="15" t="s">
        <v>105</v>
      </c>
      <c r="K36" s="15" t="s">
        <v>106</v>
      </c>
    </row>
    <row r="37" spans="1:11" ht="20" customHeight="1" x14ac:dyDescent="0.15">
      <c r="A37" s="7" t="s">
        <v>107</v>
      </c>
      <c r="B37" s="8" t="s">
        <v>108</v>
      </c>
      <c r="C37" s="11"/>
      <c r="D37" s="9">
        <v>2</v>
      </c>
      <c r="E37" s="9">
        <v>1</v>
      </c>
      <c r="F37" s="9">
        <v>1</v>
      </c>
      <c r="G37" s="9">
        <v>2</v>
      </c>
      <c r="H37" s="5">
        <f t="shared" si="1"/>
        <v>6</v>
      </c>
      <c r="I37" s="10"/>
      <c r="J37" s="15" t="s">
        <v>109</v>
      </c>
      <c r="K37" s="15" t="s">
        <v>106</v>
      </c>
    </row>
    <row r="38" spans="1:11" ht="20" customHeight="1" x14ac:dyDescent="0.15">
      <c r="A38" s="7" t="s">
        <v>110</v>
      </c>
      <c r="B38" s="8" t="s">
        <v>111</v>
      </c>
      <c r="C38" s="11"/>
      <c r="D38" s="9">
        <v>1</v>
      </c>
      <c r="E38" s="9">
        <v>1</v>
      </c>
      <c r="F38" s="9">
        <v>2</v>
      </c>
      <c r="G38" s="9">
        <v>2</v>
      </c>
      <c r="H38" s="5">
        <f t="shared" si="1"/>
        <v>6</v>
      </c>
      <c r="I38" s="10"/>
      <c r="J38" s="15" t="s">
        <v>112</v>
      </c>
      <c r="K38" s="15"/>
    </row>
    <row r="39" spans="1:11" ht="20" customHeight="1" x14ac:dyDescent="0.15">
      <c r="A39" s="7" t="s">
        <v>113</v>
      </c>
      <c r="B39" s="8" t="s">
        <v>114</v>
      </c>
      <c r="C39" s="11"/>
      <c r="D39" s="9">
        <v>2</v>
      </c>
      <c r="E39" s="9">
        <v>1</v>
      </c>
      <c r="F39" s="9">
        <v>1</v>
      </c>
      <c r="G39" s="9">
        <v>2</v>
      </c>
      <c r="H39" s="5">
        <f t="shared" si="1"/>
        <v>6</v>
      </c>
      <c r="I39" s="10"/>
      <c r="J39" s="15" t="s">
        <v>115</v>
      </c>
      <c r="K39" s="15" t="s">
        <v>106</v>
      </c>
    </row>
    <row r="40" spans="1:11" ht="20" customHeight="1" x14ac:dyDescent="0.15">
      <c r="A40" s="7" t="s">
        <v>116</v>
      </c>
      <c r="B40" s="8" t="s">
        <v>117</v>
      </c>
      <c r="C40" s="11"/>
      <c r="D40" s="9">
        <v>2</v>
      </c>
      <c r="E40" s="9">
        <v>1</v>
      </c>
      <c r="F40" s="9">
        <v>1</v>
      </c>
      <c r="G40" s="9">
        <v>2</v>
      </c>
      <c r="H40" s="5">
        <f t="shared" si="1"/>
        <v>6</v>
      </c>
      <c r="I40" s="10"/>
      <c r="J40" s="15" t="s">
        <v>118</v>
      </c>
      <c r="K40" s="15"/>
    </row>
    <row r="41" spans="1:11" ht="20" customHeight="1" x14ac:dyDescent="0.15">
      <c r="A41" s="7" t="s">
        <v>119</v>
      </c>
      <c r="B41" s="8" t="s">
        <v>120</v>
      </c>
      <c r="C41" s="11"/>
      <c r="D41" s="9">
        <v>2</v>
      </c>
      <c r="E41" s="9">
        <v>2</v>
      </c>
      <c r="F41" s="9">
        <v>1</v>
      </c>
      <c r="G41" s="9">
        <v>1</v>
      </c>
      <c r="H41" s="5">
        <f t="shared" si="1"/>
        <v>6</v>
      </c>
      <c r="I41" s="10"/>
      <c r="J41" s="15" t="s">
        <v>121</v>
      </c>
      <c r="K41" s="15"/>
    </row>
    <row r="42" spans="1:11" ht="20" customHeight="1" x14ac:dyDescent="0.15">
      <c r="A42" s="7" t="s">
        <v>122</v>
      </c>
      <c r="B42" s="8" t="s">
        <v>123</v>
      </c>
      <c r="C42" s="11"/>
      <c r="D42" s="9">
        <v>2</v>
      </c>
      <c r="E42" s="9">
        <v>1</v>
      </c>
      <c r="F42" s="9">
        <v>1</v>
      </c>
      <c r="G42" s="9">
        <v>2</v>
      </c>
      <c r="H42" s="5">
        <f t="shared" si="1"/>
        <v>6</v>
      </c>
      <c r="I42" s="10"/>
      <c r="J42" s="15" t="s">
        <v>124</v>
      </c>
      <c r="K42" s="15" t="s">
        <v>106</v>
      </c>
    </row>
    <row r="43" spans="1:11" ht="20" customHeight="1" x14ac:dyDescent="0.15">
      <c r="A43" s="7" t="s">
        <v>125</v>
      </c>
      <c r="B43" s="8" t="s">
        <v>126</v>
      </c>
      <c r="C43" s="11"/>
      <c r="D43" s="9">
        <v>2</v>
      </c>
      <c r="E43" s="9">
        <v>2</v>
      </c>
      <c r="F43" s="9">
        <v>1</v>
      </c>
      <c r="G43" s="9">
        <v>1</v>
      </c>
      <c r="H43" s="5">
        <f t="shared" si="1"/>
        <v>6</v>
      </c>
      <c r="I43" s="10"/>
      <c r="J43" s="15" t="s">
        <v>127</v>
      </c>
      <c r="K43" s="15"/>
    </row>
    <row r="44" spans="1:11" ht="20" customHeight="1" x14ac:dyDescent="0.15">
      <c r="A44" s="7" t="s">
        <v>128</v>
      </c>
      <c r="B44" s="8" t="s">
        <v>129</v>
      </c>
      <c r="C44" s="11"/>
      <c r="D44" s="9">
        <v>2</v>
      </c>
      <c r="E44" s="9">
        <v>1</v>
      </c>
      <c r="F44" s="9">
        <v>1</v>
      </c>
      <c r="G44" s="9">
        <v>2</v>
      </c>
      <c r="H44" s="5">
        <f t="shared" si="1"/>
        <v>6</v>
      </c>
      <c r="I44" s="10"/>
      <c r="J44" s="15" t="s">
        <v>130</v>
      </c>
      <c r="K44" s="15" t="s">
        <v>106</v>
      </c>
    </row>
    <row r="45" spans="1:11" ht="20" customHeight="1" x14ac:dyDescent="0.15">
      <c r="A45" s="7" t="s">
        <v>131</v>
      </c>
      <c r="B45" s="8" t="s">
        <v>132</v>
      </c>
      <c r="C45" s="11"/>
      <c r="D45" s="9">
        <v>1</v>
      </c>
      <c r="E45" s="9">
        <v>1</v>
      </c>
      <c r="F45" s="9">
        <v>2</v>
      </c>
      <c r="G45" s="9">
        <v>2</v>
      </c>
      <c r="H45" s="5">
        <f t="shared" si="1"/>
        <v>6</v>
      </c>
      <c r="I45" s="10"/>
      <c r="J45" s="15" t="s">
        <v>133</v>
      </c>
      <c r="K45" s="15"/>
    </row>
    <row r="46" spans="1:11" ht="20" customHeight="1" x14ac:dyDescent="0.15">
      <c r="A46" s="7" t="s">
        <v>134</v>
      </c>
      <c r="B46" s="8" t="s">
        <v>135</v>
      </c>
      <c r="C46" s="11"/>
      <c r="D46" s="9">
        <v>2</v>
      </c>
      <c r="E46" s="9">
        <v>1</v>
      </c>
      <c r="F46" s="9">
        <v>2</v>
      </c>
      <c r="G46" s="9">
        <v>1</v>
      </c>
      <c r="H46" s="5">
        <f t="shared" si="1"/>
        <v>6</v>
      </c>
      <c r="I46" s="10"/>
      <c r="J46" s="15" t="s">
        <v>136</v>
      </c>
      <c r="K46" s="15"/>
    </row>
    <row r="47" spans="1:11" ht="20" customHeight="1" x14ac:dyDescent="0.15">
      <c r="A47" s="7" t="s">
        <v>137</v>
      </c>
      <c r="B47" s="8" t="s">
        <v>138</v>
      </c>
      <c r="C47" s="11"/>
      <c r="D47" s="9">
        <v>1</v>
      </c>
      <c r="E47" s="9">
        <v>2</v>
      </c>
      <c r="F47" s="9">
        <v>1</v>
      </c>
      <c r="G47" s="9">
        <v>2</v>
      </c>
      <c r="H47" s="5">
        <f t="shared" si="1"/>
        <v>6</v>
      </c>
      <c r="I47" s="10"/>
      <c r="J47" s="15" t="s">
        <v>139</v>
      </c>
      <c r="K47" s="15" t="s">
        <v>106</v>
      </c>
    </row>
    <row r="48" spans="1:11" ht="20" customHeight="1" x14ac:dyDescent="0.15">
      <c r="A48" s="7" t="s">
        <v>140</v>
      </c>
      <c r="B48" s="8" t="s">
        <v>141</v>
      </c>
      <c r="C48" s="11"/>
      <c r="D48" s="9">
        <v>2</v>
      </c>
      <c r="E48" s="9">
        <v>1</v>
      </c>
      <c r="F48" s="9">
        <v>1</v>
      </c>
      <c r="G48" s="9">
        <v>2</v>
      </c>
      <c r="H48" s="5">
        <f t="shared" si="1"/>
        <v>6</v>
      </c>
      <c r="I48" s="10"/>
      <c r="J48" s="15" t="s">
        <v>142</v>
      </c>
      <c r="K48" s="15"/>
    </row>
    <row r="49" spans="1:11" ht="20" customHeight="1" x14ac:dyDescent="0.15">
      <c r="A49" s="7" t="s">
        <v>143</v>
      </c>
      <c r="B49" s="8" t="s">
        <v>144</v>
      </c>
      <c r="C49" s="11"/>
      <c r="D49" s="9">
        <v>1</v>
      </c>
      <c r="E49" s="9">
        <v>1</v>
      </c>
      <c r="F49" s="9">
        <v>1</v>
      </c>
      <c r="G49" s="9">
        <v>2</v>
      </c>
      <c r="H49" s="5">
        <f t="shared" si="1"/>
        <v>5</v>
      </c>
      <c r="I49" s="10"/>
      <c r="J49" s="15" t="s">
        <v>145</v>
      </c>
      <c r="K49" s="15"/>
    </row>
    <row r="50" spans="1:11" ht="20" customHeight="1" x14ac:dyDescent="0.15">
      <c r="A50" s="7" t="s">
        <v>146</v>
      </c>
      <c r="B50" s="8" t="s">
        <v>147</v>
      </c>
      <c r="C50" s="11"/>
      <c r="D50" s="9">
        <v>1</v>
      </c>
      <c r="E50" s="9">
        <v>1</v>
      </c>
      <c r="F50" s="9">
        <v>2</v>
      </c>
      <c r="G50" s="9">
        <v>1</v>
      </c>
      <c r="H50" s="5">
        <f t="shared" si="1"/>
        <v>5</v>
      </c>
      <c r="I50" s="10"/>
      <c r="J50" s="15" t="s">
        <v>148</v>
      </c>
      <c r="K50" s="15"/>
    </row>
    <row r="51" spans="1:11" ht="20" customHeight="1" x14ac:dyDescent="0.15">
      <c r="A51" s="7" t="s">
        <v>149</v>
      </c>
      <c r="B51" s="8" t="s">
        <v>150</v>
      </c>
      <c r="C51" s="11"/>
      <c r="D51" s="9">
        <v>2</v>
      </c>
      <c r="E51" s="9">
        <v>2</v>
      </c>
      <c r="F51" s="9">
        <v>0</v>
      </c>
      <c r="G51" s="9">
        <v>1</v>
      </c>
      <c r="H51" s="5">
        <f t="shared" si="1"/>
        <v>5</v>
      </c>
      <c r="I51" s="10"/>
      <c r="J51" s="15" t="s">
        <v>151</v>
      </c>
      <c r="K51" s="15"/>
    </row>
    <row r="52" spans="1:11" ht="20" customHeight="1" x14ac:dyDescent="0.15">
      <c r="A52" s="7" t="s">
        <v>152</v>
      </c>
      <c r="B52" s="8" t="s">
        <v>153</v>
      </c>
      <c r="C52" s="11"/>
      <c r="D52" s="9">
        <v>1</v>
      </c>
      <c r="E52" s="9">
        <v>1</v>
      </c>
      <c r="F52" s="9">
        <v>1</v>
      </c>
      <c r="G52" s="9">
        <v>2</v>
      </c>
      <c r="H52" s="5">
        <f t="shared" si="1"/>
        <v>5</v>
      </c>
      <c r="I52" s="10"/>
      <c r="J52" s="15" t="s">
        <v>154</v>
      </c>
      <c r="K52" s="15"/>
    </row>
    <row r="53" spans="1:11" ht="20" customHeight="1" x14ac:dyDescent="0.15">
      <c r="A53" s="7" t="s">
        <v>155</v>
      </c>
      <c r="B53" s="8" t="s">
        <v>156</v>
      </c>
      <c r="C53" s="11"/>
      <c r="D53" s="9">
        <v>2</v>
      </c>
      <c r="E53" s="9">
        <v>1</v>
      </c>
      <c r="F53" s="9">
        <v>1</v>
      </c>
      <c r="G53" s="9">
        <v>1</v>
      </c>
      <c r="H53" s="5">
        <f t="shared" si="1"/>
        <v>5</v>
      </c>
      <c r="I53" s="13"/>
      <c r="J53" s="15" t="s">
        <v>157</v>
      </c>
      <c r="K53" s="15" t="s">
        <v>106</v>
      </c>
    </row>
    <row r="54" spans="1:11" ht="20" customHeight="1" x14ac:dyDescent="0.15">
      <c r="A54" s="7" t="s">
        <v>158</v>
      </c>
      <c r="B54" s="8" t="s">
        <v>159</v>
      </c>
      <c r="C54" s="11"/>
      <c r="D54" s="9">
        <v>2</v>
      </c>
      <c r="E54" s="9">
        <v>1</v>
      </c>
      <c r="F54" s="9">
        <v>1</v>
      </c>
      <c r="G54" s="9">
        <v>1</v>
      </c>
      <c r="H54" s="5">
        <f t="shared" si="1"/>
        <v>5</v>
      </c>
      <c r="I54" s="10"/>
      <c r="J54" s="15" t="s">
        <v>160</v>
      </c>
      <c r="K54" s="15"/>
    </row>
    <row r="55" spans="1:11" ht="20" customHeight="1" x14ac:dyDescent="0.15">
      <c r="A55" s="7" t="s">
        <v>161</v>
      </c>
      <c r="B55" s="8" t="s">
        <v>162</v>
      </c>
      <c r="C55" s="11"/>
      <c r="D55" s="9">
        <v>2</v>
      </c>
      <c r="E55" s="9">
        <v>1</v>
      </c>
      <c r="F55" s="9">
        <v>1</v>
      </c>
      <c r="G55" s="9">
        <v>1</v>
      </c>
      <c r="H55" s="5">
        <f t="shared" si="1"/>
        <v>5</v>
      </c>
      <c r="I55" s="10"/>
      <c r="J55" s="15" t="s">
        <v>163</v>
      </c>
      <c r="K55" s="15" t="s">
        <v>106</v>
      </c>
    </row>
    <row r="56" spans="1:11" ht="20" customHeight="1" x14ac:dyDescent="0.15">
      <c r="A56" s="7" t="s">
        <v>164</v>
      </c>
      <c r="B56" s="8" t="s">
        <v>165</v>
      </c>
      <c r="C56" s="11"/>
      <c r="D56" s="9">
        <v>2</v>
      </c>
      <c r="E56" s="9">
        <v>1</v>
      </c>
      <c r="F56" s="9">
        <v>1</v>
      </c>
      <c r="G56" s="9">
        <v>1</v>
      </c>
      <c r="H56" s="5">
        <f t="shared" si="1"/>
        <v>5</v>
      </c>
      <c r="I56" s="10"/>
      <c r="J56" s="15" t="s">
        <v>166</v>
      </c>
      <c r="K56" s="15"/>
    </row>
    <row r="57" spans="1:11" ht="20" customHeight="1" x14ac:dyDescent="0.15">
      <c r="A57" s="7" t="s">
        <v>167</v>
      </c>
      <c r="B57" s="8" t="s">
        <v>168</v>
      </c>
      <c r="C57" s="11"/>
      <c r="D57" s="9">
        <v>1</v>
      </c>
      <c r="E57" s="9">
        <v>1</v>
      </c>
      <c r="F57" s="9">
        <v>1</v>
      </c>
      <c r="G57" s="9">
        <v>2</v>
      </c>
      <c r="H57" s="5">
        <f t="shared" si="1"/>
        <v>5</v>
      </c>
      <c r="I57" s="10"/>
      <c r="J57" s="15" t="s">
        <v>169</v>
      </c>
      <c r="K57" s="15"/>
    </row>
    <row r="58" spans="1:11" ht="20" customHeight="1" x14ac:dyDescent="0.15">
      <c r="A58" s="7" t="s">
        <v>170</v>
      </c>
      <c r="B58" s="8" t="s">
        <v>171</v>
      </c>
      <c r="C58" s="11"/>
      <c r="D58" s="9">
        <v>2</v>
      </c>
      <c r="E58" s="9">
        <v>2</v>
      </c>
      <c r="F58" s="9">
        <v>0</v>
      </c>
      <c r="G58" s="9">
        <v>1</v>
      </c>
      <c r="H58" s="5">
        <f t="shared" si="1"/>
        <v>5</v>
      </c>
      <c r="I58" s="10"/>
      <c r="J58" s="15" t="s">
        <v>172</v>
      </c>
      <c r="K58" s="15" t="s">
        <v>106</v>
      </c>
    </row>
    <row r="59" spans="1:11" ht="20" customHeight="1" x14ac:dyDescent="0.15">
      <c r="A59" s="7" t="s">
        <v>173</v>
      </c>
      <c r="B59" s="8" t="s">
        <v>174</v>
      </c>
      <c r="C59" s="11"/>
      <c r="D59" s="9">
        <v>2</v>
      </c>
      <c r="E59" s="9">
        <v>2</v>
      </c>
      <c r="F59" s="9">
        <v>0</v>
      </c>
      <c r="G59" s="9">
        <v>1</v>
      </c>
      <c r="H59" s="5">
        <f t="shared" si="1"/>
        <v>5</v>
      </c>
      <c r="I59" s="10"/>
      <c r="J59" s="15" t="s">
        <v>175</v>
      </c>
      <c r="K59" s="15"/>
    </row>
    <row r="60" spans="1:11" ht="20" customHeight="1" x14ac:dyDescent="0.15">
      <c r="A60" s="7" t="s">
        <v>176</v>
      </c>
      <c r="B60" s="8" t="s">
        <v>177</v>
      </c>
      <c r="C60" s="11"/>
      <c r="D60" s="9">
        <v>0</v>
      </c>
      <c r="E60" s="9">
        <v>2</v>
      </c>
      <c r="F60" s="9">
        <v>1</v>
      </c>
      <c r="G60" s="9">
        <v>2</v>
      </c>
      <c r="H60" s="5">
        <f t="shared" si="1"/>
        <v>5</v>
      </c>
      <c r="I60" s="10"/>
      <c r="J60" s="15" t="s">
        <v>178</v>
      </c>
      <c r="K60" s="15"/>
    </row>
    <row r="61" spans="1:11" ht="20" customHeight="1" x14ac:dyDescent="0.15">
      <c r="A61" s="7" t="s">
        <v>179</v>
      </c>
      <c r="B61" s="8" t="s">
        <v>180</v>
      </c>
      <c r="C61" s="11"/>
      <c r="D61" s="9">
        <v>1</v>
      </c>
      <c r="E61" s="9">
        <v>2</v>
      </c>
      <c r="F61" s="9">
        <v>1</v>
      </c>
      <c r="G61" s="9">
        <v>1</v>
      </c>
      <c r="H61" s="5">
        <f t="shared" si="1"/>
        <v>5</v>
      </c>
      <c r="I61" s="10"/>
      <c r="J61" s="15" t="s">
        <v>181</v>
      </c>
      <c r="K61" s="15"/>
    </row>
    <row r="62" spans="1:11" ht="20" customHeight="1" x14ac:dyDescent="0.15">
      <c r="A62" s="7" t="s">
        <v>182</v>
      </c>
      <c r="B62" s="8" t="s">
        <v>183</v>
      </c>
      <c r="C62" s="11"/>
      <c r="D62" s="9">
        <v>1</v>
      </c>
      <c r="E62" s="9">
        <v>2</v>
      </c>
      <c r="F62" s="9">
        <v>1</v>
      </c>
      <c r="G62" s="9">
        <v>1</v>
      </c>
      <c r="H62" s="5">
        <f t="shared" si="1"/>
        <v>5</v>
      </c>
      <c r="I62" s="10"/>
      <c r="J62" s="15" t="s">
        <v>184</v>
      </c>
      <c r="K62" s="15" t="s">
        <v>106</v>
      </c>
    </row>
    <row r="63" spans="1:11" ht="20" customHeight="1" x14ac:dyDescent="0.15">
      <c r="A63" s="7" t="s">
        <v>185</v>
      </c>
      <c r="B63" s="8" t="s">
        <v>186</v>
      </c>
      <c r="C63" s="11"/>
      <c r="D63" s="9">
        <v>2</v>
      </c>
      <c r="E63" s="9">
        <v>1</v>
      </c>
      <c r="F63" s="9">
        <v>1</v>
      </c>
      <c r="G63" s="9">
        <v>1</v>
      </c>
      <c r="H63" s="5">
        <f t="shared" si="1"/>
        <v>5</v>
      </c>
      <c r="I63" s="10"/>
      <c r="J63" s="15" t="s">
        <v>187</v>
      </c>
      <c r="K63" s="15"/>
    </row>
    <row r="64" spans="1:11" ht="20" customHeight="1" x14ac:dyDescent="0.15">
      <c r="A64" s="7" t="s">
        <v>188</v>
      </c>
      <c r="B64" s="8" t="s">
        <v>189</v>
      </c>
      <c r="C64" s="11"/>
      <c r="D64" s="9">
        <v>2</v>
      </c>
      <c r="E64" s="9">
        <v>1</v>
      </c>
      <c r="F64" s="9">
        <v>1</v>
      </c>
      <c r="G64" s="9">
        <v>1</v>
      </c>
      <c r="H64" s="5">
        <f t="shared" si="1"/>
        <v>5</v>
      </c>
      <c r="I64" s="10"/>
      <c r="J64" s="15" t="s">
        <v>190</v>
      </c>
      <c r="K64" s="15" t="s">
        <v>106</v>
      </c>
    </row>
    <row r="65" spans="1:11" ht="20" customHeight="1" x14ac:dyDescent="0.15">
      <c r="A65" s="7" t="s">
        <v>191</v>
      </c>
      <c r="B65" s="8" t="s">
        <v>192</v>
      </c>
      <c r="C65" s="11"/>
      <c r="D65" s="9">
        <v>1</v>
      </c>
      <c r="E65" s="9">
        <v>1</v>
      </c>
      <c r="F65" s="9">
        <v>2</v>
      </c>
      <c r="G65" s="9">
        <v>1</v>
      </c>
      <c r="H65" s="5">
        <f t="shared" si="1"/>
        <v>5</v>
      </c>
      <c r="I65" s="10"/>
      <c r="J65" s="15" t="s">
        <v>193</v>
      </c>
      <c r="K65" s="15" t="s">
        <v>106</v>
      </c>
    </row>
    <row r="66" spans="1:11" ht="20" customHeight="1" x14ac:dyDescent="0.15">
      <c r="A66" s="7" t="s">
        <v>194</v>
      </c>
      <c r="B66" s="8" t="s">
        <v>195</v>
      </c>
      <c r="C66" s="11"/>
      <c r="D66" s="9">
        <v>1</v>
      </c>
      <c r="E66" s="9">
        <v>1</v>
      </c>
      <c r="F66" s="9">
        <v>1</v>
      </c>
      <c r="G66" s="9">
        <v>2</v>
      </c>
      <c r="H66" s="5">
        <f t="shared" ref="H66:H92" si="2">SUM(D66:G66)</f>
        <v>5</v>
      </c>
      <c r="I66" s="10"/>
      <c r="J66" s="15" t="s">
        <v>196</v>
      </c>
      <c r="K66" s="15" t="s">
        <v>106</v>
      </c>
    </row>
    <row r="67" spans="1:11" ht="20" customHeight="1" x14ac:dyDescent="0.15">
      <c r="A67" s="7" t="s">
        <v>197</v>
      </c>
      <c r="B67" s="8" t="s">
        <v>198</v>
      </c>
      <c r="C67" s="11"/>
      <c r="D67" s="9">
        <v>1</v>
      </c>
      <c r="E67" s="9">
        <v>1</v>
      </c>
      <c r="F67" s="9">
        <v>1</v>
      </c>
      <c r="G67" s="9">
        <v>2</v>
      </c>
      <c r="H67" s="5">
        <f t="shared" si="2"/>
        <v>5</v>
      </c>
      <c r="I67" s="10"/>
      <c r="J67" s="15" t="s">
        <v>199</v>
      </c>
      <c r="K67" s="15"/>
    </row>
    <row r="68" spans="1:11" ht="20" customHeight="1" x14ac:dyDescent="0.15">
      <c r="A68" s="7" t="s">
        <v>200</v>
      </c>
      <c r="B68" s="8" t="s">
        <v>201</v>
      </c>
      <c r="C68" s="11"/>
      <c r="D68" s="9">
        <v>1</v>
      </c>
      <c r="E68" s="9">
        <v>1</v>
      </c>
      <c r="F68" s="9">
        <v>1</v>
      </c>
      <c r="G68" s="9">
        <v>1</v>
      </c>
      <c r="H68" s="5">
        <f t="shared" si="2"/>
        <v>4</v>
      </c>
      <c r="I68" s="10"/>
      <c r="J68" s="15" t="s">
        <v>202</v>
      </c>
      <c r="K68" s="15" t="s">
        <v>106</v>
      </c>
    </row>
    <row r="69" spans="1:11" ht="20" customHeight="1" x14ac:dyDescent="0.15">
      <c r="A69" s="7" t="s">
        <v>203</v>
      </c>
      <c r="B69" s="8" t="s">
        <v>204</v>
      </c>
      <c r="C69" s="11"/>
      <c r="D69" s="9">
        <v>1</v>
      </c>
      <c r="E69" s="9">
        <v>1</v>
      </c>
      <c r="F69" s="9">
        <v>1</v>
      </c>
      <c r="G69" s="9">
        <v>1</v>
      </c>
      <c r="H69" s="5">
        <f t="shared" si="2"/>
        <v>4</v>
      </c>
      <c r="I69" s="10"/>
      <c r="J69" s="15" t="s">
        <v>205</v>
      </c>
      <c r="K69" s="15"/>
    </row>
    <row r="70" spans="1:11" ht="20" customHeight="1" x14ac:dyDescent="0.15">
      <c r="A70" s="7" t="s">
        <v>206</v>
      </c>
      <c r="B70" s="8" t="s">
        <v>207</v>
      </c>
      <c r="C70" s="11"/>
      <c r="D70" s="9">
        <v>1</v>
      </c>
      <c r="E70" s="9">
        <v>1</v>
      </c>
      <c r="F70" s="9">
        <v>1</v>
      </c>
      <c r="G70" s="9">
        <v>1</v>
      </c>
      <c r="H70" s="5">
        <f t="shared" si="2"/>
        <v>4</v>
      </c>
      <c r="I70" s="10"/>
      <c r="J70" s="10"/>
      <c r="K70" s="15"/>
    </row>
    <row r="71" spans="1:11" ht="20" customHeight="1" x14ac:dyDescent="0.15">
      <c r="A71" s="7" t="s">
        <v>208</v>
      </c>
      <c r="B71" s="8" t="s">
        <v>209</v>
      </c>
      <c r="C71" s="11"/>
      <c r="D71" s="9">
        <v>2</v>
      </c>
      <c r="E71" s="9">
        <v>1</v>
      </c>
      <c r="F71" s="9">
        <v>0</v>
      </c>
      <c r="G71" s="9">
        <v>1</v>
      </c>
      <c r="H71" s="5">
        <f t="shared" si="2"/>
        <v>4</v>
      </c>
      <c r="I71" s="10"/>
      <c r="J71" s="15" t="s">
        <v>210</v>
      </c>
      <c r="K71" s="15"/>
    </row>
    <row r="72" spans="1:11" ht="20" customHeight="1" x14ac:dyDescent="0.15">
      <c r="A72" s="7" t="s">
        <v>211</v>
      </c>
      <c r="B72" s="8" t="s">
        <v>212</v>
      </c>
      <c r="C72" s="11"/>
      <c r="D72" s="9">
        <v>0</v>
      </c>
      <c r="E72" s="9">
        <v>1</v>
      </c>
      <c r="F72" s="9">
        <v>1</v>
      </c>
      <c r="G72" s="9">
        <v>2</v>
      </c>
      <c r="H72" s="5">
        <f t="shared" si="2"/>
        <v>4</v>
      </c>
      <c r="I72" s="10"/>
      <c r="J72" s="15" t="s">
        <v>213</v>
      </c>
      <c r="K72" s="15" t="s">
        <v>106</v>
      </c>
    </row>
    <row r="73" spans="1:11" ht="20" customHeight="1" x14ac:dyDescent="0.15">
      <c r="A73" s="7" t="s">
        <v>214</v>
      </c>
      <c r="B73" s="8" t="s">
        <v>215</v>
      </c>
      <c r="C73" s="11"/>
      <c r="D73" s="9">
        <v>2</v>
      </c>
      <c r="E73" s="9">
        <v>1</v>
      </c>
      <c r="F73" s="9">
        <v>1</v>
      </c>
      <c r="G73" s="9">
        <v>0</v>
      </c>
      <c r="H73" s="5">
        <f t="shared" si="2"/>
        <v>4</v>
      </c>
      <c r="I73" s="10"/>
      <c r="J73" s="15" t="s">
        <v>216</v>
      </c>
      <c r="K73" s="15"/>
    </row>
    <row r="74" spans="1:11" ht="20" customHeight="1" x14ac:dyDescent="0.15">
      <c r="A74" s="7" t="s">
        <v>217</v>
      </c>
      <c r="B74" s="8" t="s">
        <v>218</v>
      </c>
      <c r="C74" s="11"/>
      <c r="D74" s="9">
        <v>1</v>
      </c>
      <c r="E74" s="9">
        <v>1</v>
      </c>
      <c r="F74" s="9">
        <v>1</v>
      </c>
      <c r="G74" s="9">
        <v>1</v>
      </c>
      <c r="H74" s="5">
        <f t="shared" si="2"/>
        <v>4</v>
      </c>
      <c r="I74" s="10"/>
      <c r="J74" s="15"/>
      <c r="K74" s="15"/>
    </row>
    <row r="75" spans="1:11" ht="20" customHeight="1" x14ac:dyDescent="0.15">
      <c r="A75" s="7" t="s">
        <v>219</v>
      </c>
      <c r="B75" s="8" t="s">
        <v>220</v>
      </c>
      <c r="C75" s="11"/>
      <c r="D75" s="9">
        <v>1</v>
      </c>
      <c r="E75" s="9">
        <v>1</v>
      </c>
      <c r="F75" s="9">
        <v>1</v>
      </c>
      <c r="G75" s="9">
        <v>1</v>
      </c>
      <c r="H75" s="5">
        <f t="shared" si="2"/>
        <v>4</v>
      </c>
      <c r="I75" s="10"/>
      <c r="J75" s="15" t="s">
        <v>221</v>
      </c>
      <c r="K75" s="15"/>
    </row>
    <row r="76" spans="1:11" ht="20" customHeight="1" x14ac:dyDescent="0.15">
      <c r="A76" s="7" t="s">
        <v>222</v>
      </c>
      <c r="B76" s="8" t="s">
        <v>223</v>
      </c>
      <c r="C76" s="11"/>
      <c r="D76" s="9">
        <v>2</v>
      </c>
      <c r="E76" s="9">
        <v>0</v>
      </c>
      <c r="F76" s="9">
        <v>1</v>
      </c>
      <c r="G76" s="9">
        <v>1</v>
      </c>
      <c r="H76" s="5">
        <f t="shared" si="2"/>
        <v>4</v>
      </c>
      <c r="I76" s="10"/>
      <c r="J76" s="15" t="s">
        <v>221</v>
      </c>
      <c r="K76" s="15"/>
    </row>
    <row r="77" spans="1:11" ht="20" customHeight="1" x14ac:dyDescent="0.15">
      <c r="A77" s="7" t="s">
        <v>224</v>
      </c>
      <c r="B77" s="8" t="s">
        <v>225</v>
      </c>
      <c r="C77" s="11"/>
      <c r="D77" s="9">
        <v>2</v>
      </c>
      <c r="E77" s="9">
        <v>0</v>
      </c>
      <c r="F77" s="9">
        <v>1</v>
      </c>
      <c r="G77" s="9">
        <v>1</v>
      </c>
      <c r="H77" s="5">
        <f t="shared" si="2"/>
        <v>4</v>
      </c>
      <c r="I77" s="10"/>
      <c r="J77" s="15" t="s">
        <v>226</v>
      </c>
      <c r="K77" s="15" t="s">
        <v>106</v>
      </c>
    </row>
    <row r="78" spans="1:11" ht="20" customHeight="1" x14ac:dyDescent="0.15">
      <c r="A78" s="7" t="s">
        <v>227</v>
      </c>
      <c r="B78" s="8" t="s">
        <v>228</v>
      </c>
      <c r="C78" s="11"/>
      <c r="D78" s="9">
        <v>2</v>
      </c>
      <c r="E78" s="9">
        <v>0</v>
      </c>
      <c r="F78" s="9">
        <v>1</v>
      </c>
      <c r="G78" s="9">
        <v>1</v>
      </c>
      <c r="H78" s="5">
        <f t="shared" si="2"/>
        <v>4</v>
      </c>
      <c r="I78" s="10"/>
      <c r="J78" s="15" t="s">
        <v>229</v>
      </c>
      <c r="K78" s="15"/>
    </row>
    <row r="79" spans="1:11" ht="20" customHeight="1" x14ac:dyDescent="0.15">
      <c r="A79" s="7" t="s">
        <v>230</v>
      </c>
      <c r="B79" s="8" t="s">
        <v>231</v>
      </c>
      <c r="C79" s="11"/>
      <c r="D79" s="9">
        <v>1</v>
      </c>
      <c r="E79" s="9">
        <v>1</v>
      </c>
      <c r="F79" s="9">
        <v>1</v>
      </c>
      <c r="G79" s="9">
        <v>1</v>
      </c>
      <c r="H79" s="5">
        <f t="shared" si="2"/>
        <v>4</v>
      </c>
      <c r="I79" s="10"/>
      <c r="J79" s="15" t="s">
        <v>232</v>
      </c>
      <c r="K79" s="15"/>
    </row>
    <row r="80" spans="1:11" ht="20" customHeight="1" x14ac:dyDescent="0.15">
      <c r="A80" s="7" t="s">
        <v>233</v>
      </c>
      <c r="B80" s="8" t="s">
        <v>234</v>
      </c>
      <c r="C80" s="11"/>
      <c r="D80" s="9">
        <v>1</v>
      </c>
      <c r="E80" s="9">
        <v>0</v>
      </c>
      <c r="F80" s="9">
        <v>1</v>
      </c>
      <c r="G80" s="9">
        <v>1</v>
      </c>
      <c r="H80" s="5">
        <f t="shared" si="2"/>
        <v>3</v>
      </c>
      <c r="I80" s="10"/>
      <c r="J80" s="15" t="s">
        <v>235</v>
      </c>
      <c r="K80" s="15"/>
    </row>
    <row r="81" spans="1:11" ht="20" customHeight="1" x14ac:dyDescent="0.15">
      <c r="A81" s="7" t="s">
        <v>236</v>
      </c>
      <c r="B81" s="8" t="s">
        <v>237</v>
      </c>
      <c r="C81" s="11"/>
      <c r="D81" s="9">
        <v>1</v>
      </c>
      <c r="E81" s="9">
        <v>0</v>
      </c>
      <c r="F81" s="9">
        <v>1</v>
      </c>
      <c r="G81" s="9">
        <v>1</v>
      </c>
      <c r="H81" s="5">
        <f t="shared" si="2"/>
        <v>3</v>
      </c>
      <c r="I81" s="10"/>
      <c r="J81" s="15" t="s">
        <v>238</v>
      </c>
      <c r="K81" s="15" t="s">
        <v>106</v>
      </c>
    </row>
    <row r="82" spans="1:11" ht="20" customHeight="1" x14ac:dyDescent="0.15">
      <c r="A82" s="7" t="s">
        <v>239</v>
      </c>
      <c r="B82" s="8" t="s">
        <v>240</v>
      </c>
      <c r="C82" s="11"/>
      <c r="D82" s="9">
        <v>1</v>
      </c>
      <c r="E82" s="9">
        <v>0</v>
      </c>
      <c r="F82" s="9">
        <v>1</v>
      </c>
      <c r="G82" s="9">
        <v>1</v>
      </c>
      <c r="H82" s="5">
        <f t="shared" si="2"/>
        <v>3</v>
      </c>
      <c r="I82" s="10"/>
      <c r="J82" s="15" t="s">
        <v>241</v>
      </c>
      <c r="K82" s="15"/>
    </row>
    <row r="83" spans="1:11" ht="20" customHeight="1" x14ac:dyDescent="0.15">
      <c r="A83" s="7" t="s">
        <v>242</v>
      </c>
      <c r="B83" s="8" t="s">
        <v>243</v>
      </c>
      <c r="C83" s="11"/>
      <c r="D83" s="9">
        <v>1</v>
      </c>
      <c r="E83" s="9">
        <v>1</v>
      </c>
      <c r="F83" s="9">
        <v>0</v>
      </c>
      <c r="G83" s="9">
        <v>1</v>
      </c>
      <c r="H83" s="5">
        <f t="shared" si="2"/>
        <v>3</v>
      </c>
      <c r="I83" s="10"/>
      <c r="J83" s="15" t="s">
        <v>244</v>
      </c>
      <c r="K83" s="15"/>
    </row>
    <row r="84" spans="1:11" ht="20" customHeight="1" x14ac:dyDescent="0.15">
      <c r="A84" s="7" t="s">
        <v>245</v>
      </c>
      <c r="B84" s="8" t="s">
        <v>246</v>
      </c>
      <c r="C84" s="11"/>
      <c r="D84" s="9">
        <v>1</v>
      </c>
      <c r="E84" s="9">
        <v>1</v>
      </c>
      <c r="F84" s="9">
        <v>0</v>
      </c>
      <c r="G84" s="9">
        <v>1</v>
      </c>
      <c r="H84" s="5">
        <f t="shared" si="2"/>
        <v>3</v>
      </c>
      <c r="I84" s="10"/>
      <c r="J84" s="15" t="s">
        <v>247</v>
      </c>
      <c r="K84" s="15"/>
    </row>
    <row r="85" spans="1:11" ht="20" customHeight="1" x14ac:dyDescent="0.15">
      <c r="A85" s="7" t="s">
        <v>248</v>
      </c>
      <c r="B85" s="8" t="s">
        <v>249</v>
      </c>
      <c r="C85" s="11"/>
      <c r="D85" s="9">
        <v>2</v>
      </c>
      <c r="E85" s="9">
        <v>0</v>
      </c>
      <c r="F85" s="9">
        <v>0</v>
      </c>
      <c r="G85" s="9">
        <v>1</v>
      </c>
      <c r="H85" s="5">
        <f t="shared" si="2"/>
        <v>3</v>
      </c>
      <c r="I85" s="10"/>
      <c r="J85" s="15" t="s">
        <v>250</v>
      </c>
      <c r="K85" s="15"/>
    </row>
    <row r="86" spans="1:11" ht="20" customHeight="1" x14ac:dyDescent="0.15">
      <c r="A86" s="7" t="s">
        <v>251</v>
      </c>
      <c r="B86" s="8" t="s">
        <v>252</v>
      </c>
      <c r="C86" s="11"/>
      <c r="D86" s="9">
        <v>0</v>
      </c>
      <c r="E86" s="9">
        <v>1</v>
      </c>
      <c r="F86" s="9">
        <v>1</v>
      </c>
      <c r="G86" s="9">
        <v>1</v>
      </c>
      <c r="H86" s="5">
        <f t="shared" si="2"/>
        <v>3</v>
      </c>
      <c r="I86" s="10"/>
      <c r="J86" s="15" t="s">
        <v>253</v>
      </c>
      <c r="K86" s="15"/>
    </row>
    <row r="87" spans="1:11" ht="20" customHeight="1" x14ac:dyDescent="0.15">
      <c r="A87" s="7" t="s">
        <v>254</v>
      </c>
      <c r="B87" s="8" t="s">
        <v>255</v>
      </c>
      <c r="C87" s="11"/>
      <c r="D87" s="9">
        <v>1</v>
      </c>
      <c r="E87" s="9">
        <v>1</v>
      </c>
      <c r="F87" s="9">
        <v>0</v>
      </c>
      <c r="G87" s="9">
        <v>1</v>
      </c>
      <c r="H87" s="5">
        <f t="shared" si="2"/>
        <v>3</v>
      </c>
      <c r="I87" s="10"/>
      <c r="J87" s="15" t="s">
        <v>256</v>
      </c>
      <c r="K87" s="15"/>
    </row>
    <row r="88" spans="1:11" ht="20" customHeight="1" x14ac:dyDescent="0.15">
      <c r="A88" s="7" t="s">
        <v>257</v>
      </c>
      <c r="B88" s="8" t="s">
        <v>258</v>
      </c>
      <c r="C88" s="11"/>
      <c r="D88" s="9">
        <v>1</v>
      </c>
      <c r="E88" s="9">
        <v>0</v>
      </c>
      <c r="F88" s="9">
        <v>1</v>
      </c>
      <c r="G88" s="9">
        <v>1</v>
      </c>
      <c r="H88" s="5">
        <f t="shared" si="2"/>
        <v>3</v>
      </c>
      <c r="I88" s="10"/>
      <c r="J88" s="15" t="s">
        <v>259</v>
      </c>
      <c r="K88" s="15" t="s">
        <v>106</v>
      </c>
    </row>
    <row r="89" spans="1:11" ht="20" customHeight="1" x14ac:dyDescent="0.15">
      <c r="A89" s="7" t="s">
        <v>260</v>
      </c>
      <c r="B89" s="8" t="s">
        <v>261</v>
      </c>
      <c r="C89" s="11"/>
      <c r="D89" s="9">
        <v>1</v>
      </c>
      <c r="E89" s="9">
        <v>1</v>
      </c>
      <c r="F89" s="9">
        <v>0</v>
      </c>
      <c r="G89" s="9">
        <v>1</v>
      </c>
      <c r="H89" s="5">
        <f t="shared" si="2"/>
        <v>3</v>
      </c>
      <c r="I89" s="10"/>
      <c r="J89" s="15" t="s">
        <v>262</v>
      </c>
      <c r="K89" s="15"/>
    </row>
    <row r="90" spans="1:11" ht="20" customHeight="1" x14ac:dyDescent="0.15">
      <c r="A90" s="7" t="s">
        <v>263</v>
      </c>
      <c r="B90" s="8" t="s">
        <v>264</v>
      </c>
      <c r="C90" s="11"/>
      <c r="D90" s="9">
        <v>2</v>
      </c>
      <c r="E90" s="9">
        <v>0</v>
      </c>
      <c r="F90" s="9">
        <v>0</v>
      </c>
      <c r="G90" s="9">
        <v>1</v>
      </c>
      <c r="H90" s="5">
        <f t="shared" si="2"/>
        <v>3</v>
      </c>
      <c r="I90" s="10"/>
      <c r="J90" s="15" t="s">
        <v>265</v>
      </c>
      <c r="K90" s="15"/>
    </row>
    <row r="91" spans="1:11" ht="20" customHeight="1" x14ac:dyDescent="0.15">
      <c r="A91" s="7" t="s">
        <v>266</v>
      </c>
      <c r="B91" s="8" t="s">
        <v>267</v>
      </c>
      <c r="C91" s="11"/>
      <c r="D91" s="9">
        <v>1</v>
      </c>
      <c r="E91" s="9">
        <v>1</v>
      </c>
      <c r="F91" s="9">
        <v>0</v>
      </c>
      <c r="G91" s="9">
        <v>1</v>
      </c>
      <c r="H91" s="5">
        <f t="shared" si="2"/>
        <v>3</v>
      </c>
      <c r="I91" s="10"/>
      <c r="J91" s="15" t="s">
        <v>268</v>
      </c>
      <c r="K91" s="15"/>
    </row>
    <row r="92" spans="1:11" ht="20" customHeight="1" x14ac:dyDescent="0.15">
      <c r="A92" s="7" t="s">
        <v>269</v>
      </c>
      <c r="B92" s="8" t="s">
        <v>270</v>
      </c>
      <c r="C92" s="11"/>
      <c r="D92" s="9">
        <v>1</v>
      </c>
      <c r="E92" s="9">
        <v>0</v>
      </c>
      <c r="F92" s="9">
        <v>0</v>
      </c>
      <c r="G92" s="9">
        <v>1</v>
      </c>
      <c r="H92" s="5">
        <f t="shared" si="2"/>
        <v>2</v>
      </c>
      <c r="I92" s="10"/>
      <c r="J92" s="15" t="s">
        <v>271</v>
      </c>
      <c r="K92" s="15"/>
    </row>
    <row r="95" spans="1:11" ht="20" customHeight="1" x14ac:dyDescent="0.15">
      <c r="A95" s="17" t="s">
        <v>272</v>
      </c>
      <c r="B95" s="18">
        <f>COUNTIF(H:H,"&gt;6")</f>
        <v>35</v>
      </c>
    </row>
    <row r="96" spans="1:11" ht="20" customHeight="1" x14ac:dyDescent="0.15">
      <c r="A96" s="17" t="s">
        <v>273</v>
      </c>
      <c r="B96" s="18">
        <f>COUNTIFS(H:H,"&gt;3",H:H,"&lt;6")</f>
        <v>31</v>
      </c>
    </row>
    <row r="97" spans="1:2" ht="20" customHeight="1" x14ac:dyDescent="0.15">
      <c r="A97" s="17" t="s">
        <v>274</v>
      </c>
      <c r="B97" s="18">
        <f>COUNTIFS(H:H,"&gt;0",H:H,"&lt;4")</f>
        <v>13</v>
      </c>
    </row>
  </sheetData>
  <autoFilter ref="A1:I92" xr:uid="{00000000-0009-0000-0000-000000000000}">
    <sortState xmlns:xlrd2="http://schemas.microsoft.com/office/spreadsheetml/2017/richdata2" ref="A2:I92">
      <sortCondition descending="1" ref="H1:H92"/>
    </sortState>
  </autoFilter>
  <conditionalFormatting sqref="B2:K69 B70:I71 K70:K71 B72:K92">
    <cfRule type="expression" dxfId="11" priority="7" stopIfTrue="1">
      <formula>AND($H2&lt;4,$H2&gt;0)</formula>
    </cfRule>
    <cfRule type="expression" dxfId="10" priority="8" stopIfTrue="1">
      <formula>AND($H2&gt;3,$H2&lt;7)</formula>
    </cfRule>
    <cfRule type="expression" dxfId="9" priority="9">
      <formula>$H2&gt;6</formula>
    </cfRule>
  </conditionalFormatting>
  <conditionalFormatting sqref="J70">
    <cfRule type="expression" dxfId="8" priority="1" stopIfTrue="1">
      <formula>AND($H70&lt;4,$H70&gt;0)</formula>
    </cfRule>
    <cfRule type="expression" dxfId="7" priority="2" stopIfTrue="1">
      <formula>AND($H70&gt;3,$H70&lt;7)</formula>
    </cfRule>
    <cfRule type="expression" dxfId="6" priority="3">
      <formula>$H70&gt;6</formula>
    </cfRule>
  </conditionalFormatting>
  <conditionalFormatting sqref="J71">
    <cfRule type="expression" dxfId="5" priority="13" stopIfTrue="1">
      <formula>AND($H70&lt;4,$H70&gt;0)</formula>
    </cfRule>
    <cfRule type="expression" dxfId="4" priority="14" stopIfTrue="1">
      <formula>AND($H70&gt;3,$H70&lt;7)</formula>
    </cfRule>
    <cfRule type="expression" dxfId="3" priority="15">
      <formula>$H70&gt;6</formula>
    </cfRule>
  </conditionalFormatting>
  <dataValidations count="5">
    <dataValidation allowBlank="1" showInputMessage="1" showErrorMessage="1" promptTitle="Topical Relevance (0–2)" prompt="Question To what extent does the article substantively address semantic interoperability in public-sector or cross-organizational contexts? Scoring_x000a_0: Semantic interoperability is not a substantive focus or is only mentioned incidentally._x000a_1: Semantic inte" sqref="D1" xr:uid="{00000000-0002-0000-0000-000000000000}"/>
    <dataValidation allowBlank="1" showInputMessage="1" showErrorMessage="1" promptTitle="Analytical Contribution (0–2)" prompt="What type of analytical contribution does the article make beyond description?" sqref="E1" xr:uid="{00000000-0002-0000-0000-000001000000}"/>
    <dataValidation allowBlank="1" showInputMessage="1" showErrorMessage="1" promptTitle="Level of Abstraction and Transfe" prompt="To what extent are the insights abstracted from the specific empirical context and articulated in a reusable form?_x000a_" sqref="F1" xr:uid="{00000000-0002-0000-0000-000002000000}"/>
    <dataValidation allowBlank="1" showInputMessage="1" showErrorMessage="1" promptTitle="Conceptual and Methodological Ri" prompt="How clearly and coherently is the contribution conceptually and methodologically grounded?_x000a_" sqref="G1" xr:uid="{00000000-0002-0000-0000-000003000000}"/>
    <dataValidation type="whole" allowBlank="1" showInputMessage="1" showErrorMessage="1" sqref="D2:G92" xr:uid="{00000000-0002-0000-0000-000004000000}">
      <formula1>0</formula1>
      <formula2>2</formula2>
    </dataValidation>
  </dataValidations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7"/>
  <sheetViews>
    <sheetView workbookViewId="0">
      <selection activeCell="B27" sqref="B27"/>
    </sheetView>
  </sheetViews>
  <sheetFormatPr baseColWidth="10" defaultColWidth="8.83203125" defaultRowHeight="16" x14ac:dyDescent="0.15"/>
  <cols>
    <col min="1" max="1" width="33.5" style="27" bestFit="1" customWidth="1"/>
    <col min="2" max="2" width="93.83203125" style="23" customWidth="1"/>
    <col min="3" max="3" width="27.5" style="23" customWidth="1"/>
    <col min="4" max="4" width="26.1640625" style="23" customWidth="1"/>
    <col min="5" max="5" width="29" style="23" customWidth="1"/>
    <col min="6" max="6" width="33.33203125" style="23" customWidth="1"/>
    <col min="7" max="7" width="41.1640625" style="23" customWidth="1"/>
    <col min="8" max="8" width="14.6640625" style="23" customWidth="1"/>
    <col min="9" max="9" width="48" style="23" customWidth="1"/>
    <col min="10" max="10" width="117" style="23" customWidth="1"/>
    <col min="11" max="11" width="28.1640625" style="23" customWidth="1"/>
    <col min="12" max="12" width="8.33203125" style="23" customWidth="1"/>
    <col min="13" max="16384" width="8.83203125" style="24"/>
  </cols>
  <sheetData>
    <row r="1" spans="1:11" ht="20.25" customHeight="1" x14ac:dyDescent="0.1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  <c r="K1" s="22" t="s">
        <v>10</v>
      </c>
    </row>
    <row r="2" spans="1:11" ht="22" customHeight="1" x14ac:dyDescent="0.15">
      <c r="A2" s="25" t="s">
        <v>302</v>
      </c>
      <c r="B2" s="23" t="s">
        <v>303</v>
      </c>
      <c r="D2" s="23">
        <v>2</v>
      </c>
      <c r="E2" s="23">
        <v>2</v>
      </c>
      <c r="F2" s="23">
        <v>1</v>
      </c>
      <c r="G2" s="23">
        <v>1</v>
      </c>
      <c r="H2" s="24">
        <f>SUM(D2:G2)</f>
        <v>6</v>
      </c>
      <c r="I2" s="23" t="s">
        <v>331</v>
      </c>
      <c r="K2" s="23" t="s">
        <v>106</v>
      </c>
    </row>
    <row r="3" spans="1:11" ht="22" customHeight="1" x14ac:dyDescent="0.15">
      <c r="A3" s="26" t="s">
        <v>290</v>
      </c>
      <c r="B3" s="23" t="s">
        <v>291</v>
      </c>
      <c r="D3" s="23">
        <v>2</v>
      </c>
      <c r="E3" s="23">
        <v>1</v>
      </c>
      <c r="F3" s="23">
        <v>1</v>
      </c>
      <c r="G3" s="23">
        <v>2</v>
      </c>
      <c r="H3" s="24">
        <f>SUM(D3:G3)</f>
        <v>6</v>
      </c>
      <c r="I3" s="23" t="s">
        <v>332</v>
      </c>
    </row>
    <row r="4" spans="1:11" ht="22" customHeight="1" x14ac:dyDescent="0.15">
      <c r="A4" s="26" t="s">
        <v>292</v>
      </c>
      <c r="B4" s="23" t="s">
        <v>293</v>
      </c>
      <c r="D4" s="23">
        <v>2</v>
      </c>
      <c r="E4" s="23">
        <v>1</v>
      </c>
      <c r="F4" s="23">
        <v>1</v>
      </c>
      <c r="G4" s="23">
        <v>1</v>
      </c>
      <c r="H4" s="24">
        <f>SUM(D4:G4)</f>
        <v>5</v>
      </c>
      <c r="I4" s="23" t="s">
        <v>333</v>
      </c>
    </row>
    <row r="5" spans="1:11" ht="22" customHeight="1" x14ac:dyDescent="0.15">
      <c r="A5" s="26" t="s">
        <v>308</v>
      </c>
      <c r="B5" s="23" t="s">
        <v>309</v>
      </c>
      <c r="C5" s="23" t="s">
        <v>334</v>
      </c>
      <c r="H5" s="24">
        <f>SUM(D5:G5)</f>
        <v>0</v>
      </c>
    </row>
    <row r="6" spans="1:11" ht="22" customHeight="1" x14ac:dyDescent="0.15">
      <c r="A6" s="26" t="s">
        <v>294</v>
      </c>
      <c r="B6" s="23" t="s">
        <v>295</v>
      </c>
      <c r="D6" s="23">
        <v>0</v>
      </c>
      <c r="E6" s="23">
        <v>1</v>
      </c>
      <c r="F6" s="23">
        <v>1</v>
      </c>
      <c r="G6" s="23">
        <v>2</v>
      </c>
      <c r="H6" s="24">
        <f>SUM(D6:G6)</f>
        <v>4</v>
      </c>
      <c r="I6" s="23" t="s">
        <v>335</v>
      </c>
    </row>
    <row r="7" spans="1:11" ht="22" customHeight="1" x14ac:dyDescent="0.15">
      <c r="A7" s="26" t="s">
        <v>306</v>
      </c>
      <c r="B7" s="23" t="s">
        <v>307</v>
      </c>
      <c r="C7" s="23" t="s">
        <v>334</v>
      </c>
      <c r="H7" s="24">
        <f>SUM(D7:G7)</f>
        <v>0</v>
      </c>
    </row>
    <row r="8" spans="1:11" ht="22" customHeight="1" x14ac:dyDescent="0.15">
      <c r="A8" s="26" t="s">
        <v>281</v>
      </c>
      <c r="B8" s="23" t="s">
        <v>282</v>
      </c>
      <c r="D8" s="23">
        <v>2</v>
      </c>
      <c r="E8" s="23">
        <v>1</v>
      </c>
      <c r="F8" s="23">
        <v>1</v>
      </c>
      <c r="G8" s="23">
        <v>1</v>
      </c>
      <c r="H8" s="24">
        <f>SUM(D8:G8)</f>
        <v>5</v>
      </c>
      <c r="I8" s="23" t="s">
        <v>336</v>
      </c>
    </row>
    <row r="9" spans="1:11" ht="22" customHeight="1" x14ac:dyDescent="0.15">
      <c r="A9" s="26" t="s">
        <v>279</v>
      </c>
      <c r="B9" s="23" t="s">
        <v>280</v>
      </c>
      <c r="D9" s="23">
        <v>1</v>
      </c>
      <c r="E9" s="23">
        <v>2</v>
      </c>
      <c r="F9" s="23">
        <v>1</v>
      </c>
      <c r="G9" s="23">
        <v>2</v>
      </c>
      <c r="H9" s="24">
        <f>SUM(D9:G9)</f>
        <v>6</v>
      </c>
      <c r="I9" s="23" t="s">
        <v>337</v>
      </c>
    </row>
    <row r="10" spans="1:11" ht="22" customHeight="1" x14ac:dyDescent="0.15">
      <c r="A10" s="26" t="s">
        <v>314</v>
      </c>
      <c r="B10" s="23" t="s">
        <v>315</v>
      </c>
      <c r="D10" s="23">
        <v>1</v>
      </c>
      <c r="E10" s="23">
        <v>0</v>
      </c>
      <c r="F10" s="23">
        <v>1</v>
      </c>
      <c r="G10" s="23">
        <v>2</v>
      </c>
      <c r="H10" s="24">
        <f>SUM(D10:G10)</f>
        <v>4</v>
      </c>
      <c r="I10" s="23" t="s">
        <v>338</v>
      </c>
    </row>
    <row r="11" spans="1:11" ht="22" customHeight="1" x14ac:dyDescent="0.15">
      <c r="A11" s="26" t="s">
        <v>326</v>
      </c>
      <c r="B11" s="23" t="s">
        <v>327</v>
      </c>
      <c r="C11" s="23" t="s">
        <v>339</v>
      </c>
      <c r="H11" s="24">
        <f>SUM(D11:G11)</f>
        <v>0</v>
      </c>
    </row>
    <row r="12" spans="1:11" ht="22" customHeight="1" x14ac:dyDescent="0.15">
      <c r="A12" s="26" t="s">
        <v>318</v>
      </c>
      <c r="B12" s="23" t="s">
        <v>319</v>
      </c>
      <c r="D12" s="23">
        <v>0</v>
      </c>
      <c r="E12" s="23">
        <v>2</v>
      </c>
      <c r="F12" s="23">
        <v>2</v>
      </c>
      <c r="G12" s="23">
        <v>2</v>
      </c>
      <c r="H12" s="24">
        <f>SUM(D12:G12)</f>
        <v>6</v>
      </c>
      <c r="I12" s="23" t="s">
        <v>340</v>
      </c>
    </row>
    <row r="13" spans="1:11" ht="22" customHeight="1" x14ac:dyDescent="0.15">
      <c r="A13" s="26" t="s">
        <v>304</v>
      </c>
      <c r="B13" s="23" t="s">
        <v>305</v>
      </c>
      <c r="D13" s="23">
        <v>0</v>
      </c>
      <c r="E13" s="23">
        <v>2</v>
      </c>
      <c r="F13" s="23">
        <v>2</v>
      </c>
      <c r="G13" s="23">
        <v>2</v>
      </c>
      <c r="H13" s="24">
        <f>SUM(D13:G13)</f>
        <v>6</v>
      </c>
      <c r="I13" s="23" t="s">
        <v>341</v>
      </c>
    </row>
    <row r="14" spans="1:11" ht="22" customHeight="1" x14ac:dyDescent="0.15">
      <c r="A14" s="26" t="s">
        <v>312</v>
      </c>
      <c r="B14" s="23" t="s">
        <v>313</v>
      </c>
      <c r="D14" s="23">
        <v>1</v>
      </c>
      <c r="E14" s="23">
        <v>1</v>
      </c>
      <c r="F14" s="23">
        <v>1</v>
      </c>
      <c r="G14" s="23">
        <v>2</v>
      </c>
      <c r="H14" s="24">
        <f>SUM(D14:G14)</f>
        <v>5</v>
      </c>
      <c r="I14" s="23" t="s">
        <v>342</v>
      </c>
    </row>
    <row r="15" spans="1:11" ht="22" customHeight="1" x14ac:dyDescent="0.15">
      <c r="A15" s="26" t="s">
        <v>324</v>
      </c>
      <c r="B15" s="23" t="s">
        <v>325</v>
      </c>
      <c r="D15" s="23">
        <v>1</v>
      </c>
      <c r="E15" s="23">
        <v>1</v>
      </c>
      <c r="F15" s="23">
        <v>1</v>
      </c>
      <c r="G15" s="23">
        <v>1</v>
      </c>
      <c r="H15" s="24">
        <f>SUM(D15:G15)</f>
        <v>4</v>
      </c>
      <c r="I15" s="23" t="s">
        <v>343</v>
      </c>
    </row>
    <row r="16" spans="1:11" ht="22" customHeight="1" x14ac:dyDescent="0.15">
      <c r="A16" s="26" t="s">
        <v>330</v>
      </c>
      <c r="B16" s="23" t="s">
        <v>285</v>
      </c>
      <c r="D16" s="23">
        <v>1</v>
      </c>
      <c r="E16" s="23">
        <v>2</v>
      </c>
      <c r="F16" s="23">
        <v>2</v>
      </c>
      <c r="G16" s="23">
        <v>2</v>
      </c>
      <c r="H16" s="24">
        <f>SUM(D16:G16)</f>
        <v>7</v>
      </c>
      <c r="I16" s="23" t="s">
        <v>344</v>
      </c>
    </row>
    <row r="17" spans="1:9" ht="22" customHeight="1" x14ac:dyDescent="0.15">
      <c r="A17" s="26" t="s">
        <v>288</v>
      </c>
      <c r="B17" s="23" t="s">
        <v>289</v>
      </c>
      <c r="D17" s="23">
        <v>1</v>
      </c>
      <c r="E17" s="23">
        <v>0</v>
      </c>
      <c r="F17" s="23">
        <v>1</v>
      </c>
      <c r="G17" s="23">
        <v>0</v>
      </c>
      <c r="H17" s="24">
        <f>SUM(D17:G17)</f>
        <v>2</v>
      </c>
      <c r="I17" s="23" t="s">
        <v>345</v>
      </c>
    </row>
    <row r="18" spans="1:9" ht="22" customHeight="1" x14ac:dyDescent="0.15">
      <c r="A18" s="26" t="s">
        <v>316</v>
      </c>
      <c r="B18" s="23" t="s">
        <v>317</v>
      </c>
      <c r="D18" s="23">
        <v>1</v>
      </c>
      <c r="E18" s="23">
        <v>2</v>
      </c>
      <c r="F18" s="23">
        <v>1</v>
      </c>
      <c r="G18" s="23">
        <v>1</v>
      </c>
      <c r="H18" s="24">
        <f>SUM(D18:G18)</f>
        <v>5</v>
      </c>
      <c r="I18" s="23" t="s">
        <v>346</v>
      </c>
    </row>
    <row r="19" spans="1:9" ht="22" customHeight="1" x14ac:dyDescent="0.15">
      <c r="A19" s="26" t="s">
        <v>320</v>
      </c>
      <c r="B19" s="23" t="s">
        <v>321</v>
      </c>
      <c r="D19" s="23">
        <v>2</v>
      </c>
      <c r="E19" s="23">
        <v>2</v>
      </c>
      <c r="F19" s="23">
        <v>1</v>
      </c>
      <c r="G19" s="23">
        <v>2</v>
      </c>
      <c r="H19" s="24">
        <f>SUM(D19:G19)</f>
        <v>7</v>
      </c>
      <c r="I19" s="23" t="s">
        <v>347</v>
      </c>
    </row>
    <row r="20" spans="1:9" ht="22" customHeight="1" x14ac:dyDescent="0.15">
      <c r="A20" s="26" t="s">
        <v>322</v>
      </c>
      <c r="B20" s="23" t="s">
        <v>323</v>
      </c>
      <c r="D20" s="23">
        <v>1</v>
      </c>
      <c r="E20" s="23">
        <v>2</v>
      </c>
      <c r="F20" s="23">
        <v>2</v>
      </c>
      <c r="G20" s="23">
        <v>2</v>
      </c>
      <c r="H20" s="24">
        <f>SUM(D20:G20)</f>
        <v>7</v>
      </c>
      <c r="I20" s="23" t="s">
        <v>348</v>
      </c>
    </row>
    <row r="21" spans="1:9" ht="22" customHeight="1" x14ac:dyDescent="0.15">
      <c r="A21" s="26" t="s">
        <v>329</v>
      </c>
      <c r="B21" s="23" t="s">
        <v>328</v>
      </c>
      <c r="D21" s="23">
        <v>1</v>
      </c>
      <c r="E21" s="23">
        <v>1</v>
      </c>
      <c r="F21" s="23">
        <v>1</v>
      </c>
      <c r="G21" s="23">
        <v>1</v>
      </c>
      <c r="H21" s="24">
        <f>SUM(D21:G21)</f>
        <v>4</v>
      </c>
      <c r="I21" s="23" t="s">
        <v>349</v>
      </c>
    </row>
    <row r="22" spans="1:9" ht="22" customHeight="1" x14ac:dyDescent="0.15">
      <c r="A22" s="26" t="s">
        <v>283</v>
      </c>
      <c r="B22" s="23" t="s">
        <v>284</v>
      </c>
      <c r="D22" s="23">
        <v>2</v>
      </c>
      <c r="E22" s="23">
        <v>2</v>
      </c>
      <c r="F22" s="23">
        <v>2</v>
      </c>
      <c r="G22" s="23">
        <v>2</v>
      </c>
      <c r="H22" s="24">
        <f>SUM(D22:G22)</f>
        <v>8</v>
      </c>
      <c r="I22" s="23" t="s">
        <v>350</v>
      </c>
    </row>
    <row r="23" spans="1:9" ht="22" customHeight="1" x14ac:dyDescent="0.15">
      <c r="A23" s="26" t="s">
        <v>298</v>
      </c>
      <c r="B23" s="23" t="s">
        <v>299</v>
      </c>
      <c r="D23" s="23">
        <v>1</v>
      </c>
      <c r="E23" s="23">
        <v>2</v>
      </c>
      <c r="F23" s="23">
        <v>2</v>
      </c>
      <c r="G23" s="23">
        <v>2</v>
      </c>
      <c r="H23" s="24">
        <f>SUM(D23:G23)</f>
        <v>7</v>
      </c>
      <c r="I23" s="23" t="s">
        <v>351</v>
      </c>
    </row>
    <row r="24" spans="1:9" ht="22" customHeight="1" x14ac:dyDescent="0.15">
      <c r="A24" s="26" t="s">
        <v>310</v>
      </c>
      <c r="B24" s="23" t="s">
        <v>311</v>
      </c>
      <c r="D24" s="23">
        <v>2</v>
      </c>
      <c r="E24" s="23">
        <v>2</v>
      </c>
      <c r="F24" s="23">
        <v>2</v>
      </c>
      <c r="G24" s="23">
        <v>2</v>
      </c>
      <c r="H24" s="24">
        <f>SUM(D24:G24)</f>
        <v>8</v>
      </c>
      <c r="I24" s="23" t="s">
        <v>352</v>
      </c>
    </row>
    <row r="25" spans="1:9" ht="22" customHeight="1" x14ac:dyDescent="0.15">
      <c r="A25" s="26" t="s">
        <v>296</v>
      </c>
      <c r="B25" s="23" t="s">
        <v>297</v>
      </c>
      <c r="D25" s="23">
        <v>1</v>
      </c>
      <c r="E25" s="23">
        <v>2</v>
      </c>
      <c r="F25" s="23">
        <v>1</v>
      </c>
      <c r="G25" s="23">
        <v>2</v>
      </c>
      <c r="H25" s="24">
        <f>SUM(D25:G25)</f>
        <v>6</v>
      </c>
      <c r="I25" s="23" t="s">
        <v>353</v>
      </c>
    </row>
    <row r="26" spans="1:9" ht="22" customHeight="1" x14ac:dyDescent="0.15">
      <c r="A26" s="26" t="s">
        <v>300</v>
      </c>
      <c r="B26" s="23" t="s">
        <v>301</v>
      </c>
      <c r="D26" s="23">
        <v>1</v>
      </c>
      <c r="E26" s="23">
        <v>2</v>
      </c>
      <c r="F26" s="23">
        <v>2</v>
      </c>
      <c r="G26" s="23">
        <v>2</v>
      </c>
      <c r="H26" s="24">
        <f>SUM(D26:G26)</f>
        <v>7</v>
      </c>
      <c r="I26" s="23" t="s">
        <v>354</v>
      </c>
    </row>
    <row r="27" spans="1:9" ht="22" customHeight="1" x14ac:dyDescent="0.15">
      <c r="A27" s="26" t="s">
        <v>286</v>
      </c>
      <c r="B27" s="23" t="s">
        <v>287</v>
      </c>
      <c r="C27" s="23" t="s">
        <v>355</v>
      </c>
      <c r="D27" s="23">
        <v>0</v>
      </c>
      <c r="E27" s="23">
        <v>0</v>
      </c>
      <c r="F27" s="23">
        <v>0</v>
      </c>
      <c r="G27" s="23">
        <v>0</v>
      </c>
      <c r="H27" s="24">
        <f>SUM(D27:G27)</f>
        <v>0</v>
      </c>
    </row>
    <row r="28" spans="1:9" x14ac:dyDescent="0.15">
      <c r="A28" s="26"/>
    </row>
    <row r="29" spans="1:9" x14ac:dyDescent="0.15">
      <c r="A29" s="26"/>
    </row>
    <row r="30" spans="1:9" x14ac:dyDescent="0.15">
      <c r="A30" s="26"/>
    </row>
    <row r="31" spans="1:9" x14ac:dyDescent="0.15">
      <c r="A31" s="26"/>
    </row>
    <row r="32" spans="1:9" x14ac:dyDescent="0.15">
      <c r="A32" s="26"/>
    </row>
    <row r="33" spans="1:1" x14ac:dyDescent="0.15">
      <c r="A33" s="26"/>
    </row>
    <row r="34" spans="1:1" x14ac:dyDescent="0.15">
      <c r="A34" s="26"/>
    </row>
    <row r="35" spans="1:1" x14ac:dyDescent="0.15">
      <c r="A35" s="26"/>
    </row>
    <row r="36" spans="1:1" x14ac:dyDescent="0.15">
      <c r="A36" s="26"/>
    </row>
    <row r="37" spans="1:1" x14ac:dyDescent="0.15">
      <c r="A37" s="26"/>
    </row>
    <row r="38" spans="1:1" x14ac:dyDescent="0.15">
      <c r="A38" s="26"/>
    </row>
    <row r="39" spans="1:1" x14ac:dyDescent="0.15">
      <c r="A39" s="26"/>
    </row>
    <row r="40" spans="1:1" x14ac:dyDescent="0.15">
      <c r="A40" s="26"/>
    </row>
    <row r="41" spans="1:1" x14ac:dyDescent="0.15">
      <c r="A41" s="26"/>
    </row>
    <row r="42" spans="1:1" x14ac:dyDescent="0.15">
      <c r="A42" s="26"/>
    </row>
    <row r="43" spans="1:1" x14ac:dyDescent="0.15">
      <c r="A43" s="26"/>
    </row>
    <row r="44" spans="1:1" x14ac:dyDescent="0.15">
      <c r="A44" s="26"/>
    </row>
    <row r="45" spans="1:1" x14ac:dyDescent="0.15">
      <c r="A45" s="26"/>
    </row>
    <row r="46" spans="1:1" x14ac:dyDescent="0.15">
      <c r="A46" s="26"/>
    </row>
    <row r="47" spans="1:1" x14ac:dyDescent="0.15">
      <c r="A47" s="26"/>
    </row>
    <row r="48" spans="1:1" x14ac:dyDescent="0.15">
      <c r="A48" s="26"/>
    </row>
    <row r="49" spans="1:1" x14ac:dyDescent="0.15">
      <c r="A49" s="26"/>
    </row>
    <row r="50" spans="1:1" x14ac:dyDescent="0.15">
      <c r="A50" s="26"/>
    </row>
    <row r="51" spans="1:1" x14ac:dyDescent="0.15">
      <c r="A51" s="26"/>
    </row>
    <row r="52" spans="1:1" x14ac:dyDescent="0.15">
      <c r="A52" s="26"/>
    </row>
    <row r="53" spans="1:1" x14ac:dyDescent="0.15">
      <c r="A53" s="26"/>
    </row>
    <row r="54" spans="1:1" x14ac:dyDescent="0.15">
      <c r="A54" s="26"/>
    </row>
    <row r="55" spans="1:1" x14ac:dyDescent="0.15">
      <c r="A55" s="26"/>
    </row>
    <row r="56" spans="1:1" x14ac:dyDescent="0.15">
      <c r="A56" s="26"/>
    </row>
    <row r="57" spans="1:1" x14ac:dyDescent="0.15">
      <c r="A57" s="26"/>
    </row>
    <row r="58" spans="1:1" x14ac:dyDescent="0.15">
      <c r="A58" s="26"/>
    </row>
    <row r="59" spans="1:1" x14ac:dyDescent="0.15">
      <c r="A59" s="26"/>
    </row>
    <row r="60" spans="1:1" x14ac:dyDescent="0.15">
      <c r="A60" s="26"/>
    </row>
    <row r="61" spans="1:1" x14ac:dyDescent="0.15">
      <c r="A61" s="26"/>
    </row>
    <row r="62" spans="1:1" x14ac:dyDescent="0.15">
      <c r="A62" s="26"/>
    </row>
    <row r="63" spans="1:1" x14ac:dyDescent="0.15">
      <c r="A63" s="26"/>
    </row>
    <row r="64" spans="1:1" x14ac:dyDescent="0.15">
      <c r="A64" s="26"/>
    </row>
    <row r="65" spans="1:1" x14ac:dyDescent="0.15">
      <c r="A65" s="26"/>
    </row>
    <row r="66" spans="1:1" x14ac:dyDescent="0.15">
      <c r="A66" s="26"/>
    </row>
    <row r="67" spans="1:1" x14ac:dyDescent="0.15">
      <c r="A67" s="26"/>
    </row>
    <row r="68" spans="1:1" x14ac:dyDescent="0.15">
      <c r="A68" s="26"/>
    </row>
    <row r="69" spans="1:1" x14ac:dyDescent="0.15">
      <c r="A69" s="26"/>
    </row>
    <row r="70" spans="1:1" x14ac:dyDescent="0.15">
      <c r="A70" s="26"/>
    </row>
    <row r="71" spans="1:1" x14ac:dyDescent="0.15">
      <c r="A71" s="26"/>
    </row>
    <row r="72" spans="1:1" x14ac:dyDescent="0.15">
      <c r="A72" s="26"/>
    </row>
    <row r="73" spans="1:1" x14ac:dyDescent="0.15">
      <c r="A73" s="26"/>
    </row>
    <row r="74" spans="1:1" x14ac:dyDescent="0.15">
      <c r="A74" s="26"/>
    </row>
    <row r="75" spans="1:1" x14ac:dyDescent="0.15">
      <c r="A75" s="26"/>
    </row>
    <row r="76" spans="1:1" x14ac:dyDescent="0.15">
      <c r="A76" s="26"/>
    </row>
    <row r="77" spans="1:1" x14ac:dyDescent="0.15">
      <c r="A77" s="26"/>
    </row>
    <row r="78" spans="1:1" x14ac:dyDescent="0.15">
      <c r="A78" s="26"/>
    </row>
    <row r="79" spans="1:1" x14ac:dyDescent="0.15">
      <c r="A79" s="26"/>
    </row>
    <row r="80" spans="1:1" x14ac:dyDescent="0.15">
      <c r="A80" s="26"/>
    </row>
    <row r="81" spans="1:1" x14ac:dyDescent="0.15">
      <c r="A81" s="26"/>
    </row>
    <row r="82" spans="1:1" x14ac:dyDescent="0.15">
      <c r="A82" s="26"/>
    </row>
    <row r="83" spans="1:1" x14ac:dyDescent="0.15">
      <c r="A83" s="26"/>
    </row>
    <row r="84" spans="1:1" x14ac:dyDescent="0.15">
      <c r="A84" s="26"/>
    </row>
    <row r="85" spans="1:1" x14ac:dyDescent="0.15">
      <c r="A85" s="26"/>
    </row>
    <row r="86" spans="1:1" x14ac:dyDescent="0.15">
      <c r="A86" s="26"/>
    </row>
    <row r="87" spans="1:1" x14ac:dyDescent="0.15">
      <c r="A87" s="26"/>
    </row>
    <row r="88" spans="1:1" x14ac:dyDescent="0.15">
      <c r="A88" s="26"/>
    </row>
    <row r="89" spans="1:1" x14ac:dyDescent="0.15">
      <c r="A89" s="26"/>
    </row>
    <row r="90" spans="1:1" x14ac:dyDescent="0.15">
      <c r="A90" s="26"/>
    </row>
    <row r="91" spans="1:1" x14ac:dyDescent="0.15">
      <c r="A91" s="26"/>
    </row>
    <row r="92" spans="1:1" x14ac:dyDescent="0.15">
      <c r="A92" s="26"/>
    </row>
    <row r="95" spans="1:1" x14ac:dyDescent="0.15">
      <c r="A95" s="28"/>
    </row>
    <row r="96" spans="1:1" x14ac:dyDescent="0.15">
      <c r="A96" s="28"/>
    </row>
    <row r="97" spans="1:1" x14ac:dyDescent="0.15">
      <c r="A97" s="28"/>
    </row>
  </sheetData>
  <autoFilter ref="A1:L97" xr:uid="{00000000-0001-0000-0200-000000000000}">
    <sortState xmlns:xlrd2="http://schemas.microsoft.com/office/spreadsheetml/2017/richdata2" ref="A2:L97">
      <sortCondition ref="A1:A97"/>
    </sortState>
  </autoFilter>
  <conditionalFormatting sqref="B2:K27">
    <cfRule type="expression" dxfId="2" priority="7">
      <formula>AND($H2&lt;4,$H2&gt;0)</formula>
    </cfRule>
    <cfRule type="expression" dxfId="1" priority="8">
      <formula>AND($H2&gt;3,$H2&lt;7)</formula>
    </cfRule>
    <cfRule type="expression" dxfId="0" priority="9">
      <formula>$H2&gt;6</formula>
    </cfRule>
  </conditionalFormatting>
  <dataValidations count="5">
    <dataValidation type="whole" showErrorMessage="1" sqref="D2:G27" xr:uid="{00000000-0002-0000-0200-000000000000}">
      <formula1>0</formula1>
      <formula2>2</formula2>
    </dataValidation>
    <dataValidation showInputMessage="1" showErrorMessage="1" promptTitle="Topical Relevance (0–2)" prompt="Question To what extent does the article substantively address semantic interoperability in public-sector or cross-organizational contexts? Scoring_x000a_0: Semantic interoperability is not a substantive focus or is only mentioned incidentally._x000a_1: Semantic inte" sqref="D1" xr:uid="{00000000-0002-0000-0200-000001000000}"/>
    <dataValidation showInputMessage="1" showErrorMessage="1" promptTitle="Analytical Contribution (0–2)" prompt="What type of analytical contribution does the article make beyond description?" sqref="E1" xr:uid="{00000000-0002-0000-0200-000002000000}"/>
    <dataValidation showInputMessage="1" showErrorMessage="1" promptTitle="Level of Abstraction and Transfe" prompt="To what extent are the insights abstracted from the specific empirical context and articulated in a reusable form?_x000a_" sqref="F1" xr:uid="{00000000-0002-0000-0200-000003000000}"/>
    <dataValidation showInputMessage="1" showErrorMessage="1" promptTitle="Conceptual and Methodological Ri" prompt="How clearly and coherently is the contribution conceptually and methodologically grounded?_x000a_" sqref="G1" xr:uid="{00000000-0002-0000-0200-000004000000}"/>
  </dataValidation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2" sqref="A2"/>
    </sheetView>
  </sheetViews>
  <sheetFormatPr baseColWidth="10" defaultRowHeight="13" x14ac:dyDescent="0.15"/>
  <cols>
    <col min="1" max="1" width="37.1640625" style="19" customWidth="1"/>
  </cols>
  <sheetData>
    <row r="1" spans="1:1" x14ac:dyDescent="0.15">
      <c r="A1" s="12"/>
    </row>
    <row r="2" spans="1:1" ht="14" customHeight="1" x14ac:dyDescent="0.15">
      <c r="A2" t="s">
        <v>275</v>
      </c>
    </row>
    <row r="3" spans="1:1" ht="14" customHeight="1" x14ac:dyDescent="0.15">
      <c r="A3" t="s">
        <v>276</v>
      </c>
    </row>
    <row r="4" spans="1:1" ht="14" customHeight="1" x14ac:dyDescent="0.15">
      <c r="A4" t="s">
        <v>277</v>
      </c>
    </row>
    <row r="5" spans="1:1" ht="14" customHeight="1" x14ac:dyDescent="0.15">
      <c r="A5" t="s">
        <v>278</v>
      </c>
    </row>
    <row r="6" spans="1:1" ht="14" customHeight="1" x14ac:dyDescent="0.15">
      <c r="A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01_CoreScreening</vt:lpstr>
      <vt:lpstr>02_OpenAlex_Screening</vt:lpstr>
      <vt:lpstr>Exclusiecriteria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Arjen Brienen</cp:lastModifiedBy>
  <dcterms:created xsi:type="dcterms:W3CDTF">2026-04-10T19:15:34Z</dcterms:created>
  <dcterms:modified xsi:type="dcterms:W3CDTF">2026-04-10T21:27:25Z</dcterms:modified>
</cp:coreProperties>
</file>