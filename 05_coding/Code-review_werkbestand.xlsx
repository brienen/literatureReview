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zicht" sheetId="1" state="visible" r:id="rId3"/>
    <sheet name="Codes" sheetId="2" state="visible" r:id="rId4"/>
    <sheet name="Imported_Solo" sheetId="3" state="visible" r:id="rId5"/>
    <sheet name="Spelfouten" sheetId="4" state="visible" r:id="rId6"/>
    <sheet name="Mergers" sheetId="5" state="visible" r:id="rId7"/>
    <sheet name="Per_Categorie" sheetId="6" state="visible" r:id="rId8"/>
    <sheet name="Onbalans_check" sheetId="7" state="visible" r:id="rId9"/>
    <sheet name="Samples" sheetId="8" state="visible" r:id="rId10"/>
  </sheets>
  <definedNames>
    <definedName function="false" hidden="true" localSheetId="1" name="_xlnm._FilterDatabase" vbProcedure="false">Codes!$A$1:$L$140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<sst xmlns="http://schemas.openxmlformats.org/spreadsheetml/2006/main" count="2221" uniqueCount="928">
  <si>
    <t xml:space="preserve">Code-review Literature Review MDIM</t>
  </si>
  <si>
    <t xml:space="preserve">Werkdocument voor consolidatie en opschoning van het ATLAS.ti codebook</t>
  </si>
  <si>
    <t xml:space="preserve">Gegenereerd op basis van Quotation Manager 20260506 en Codebook export</t>
  </si>
  <si>
    <t xml:space="preserve">Kerncijfers</t>
  </si>
  <si>
    <t xml:space="preserve">Totaal aantal quotaties</t>
  </si>
  <si>
    <t xml:space="preserve">Aantal documenten gecodeerd</t>
  </si>
  <si>
    <t xml:space="preserve">Aantal codes in codebook (incl. parents)</t>
  </si>
  <si>
    <t xml:space="preserve">Aantal codes daadwerkelijk in gebruik</t>
  </si>
  <si>
    <t xml:space="preserve">Codes met n = 1 quotatie</t>
  </si>
  <si>
    <t xml:space="preserve">Codes met n = 2 quotaties</t>
  </si>
  <si>
    <t xml:space="preserve">Codes met n = 3 t/m 5 quotaties</t>
  </si>
  <si>
    <t xml:space="preserve">Codes met n &gt; 20 quotaties</t>
  </si>
  <si>
    <t xml:space="preserve">Codes uit codebook ongebruikt</t>
  </si>
  <si>
    <t xml:space="preserve">Aanbevolen acties (samenvatting)</t>
  </si>
  <si>
    <t xml:space="preserve">Actie</t>
  </si>
  <si>
    <t xml:space="preserve">Aantal codes</t>
  </si>
  <si>
    <t xml:space="preserve">Toelichting</t>
  </si>
  <si>
    <t xml:space="preserve">KEEP</t>
  </si>
  <si>
    <t xml:space="preserve">Behouden zoals nu</t>
  </si>
  <si>
    <t xml:space="preserve">RENAME</t>
  </si>
  <si>
    <t xml:space="preserve">Naam aanpassen (spelfout of verduidelijking)</t>
  </si>
  <si>
    <t xml:space="preserve">MERGE_INTO</t>
  </si>
  <si>
    <t xml:space="preserve">Quotaties verplaatsen naar doelcode en code verwijderen</t>
  </si>
  <si>
    <t xml:space="preserve">SPLIT</t>
  </si>
  <si>
    <t xml:space="preserve">Quotaties splitsen tussen meerdere bestaande of nieuwe codes</t>
  </si>
  <si>
    <t xml:space="preserve">DELETE</t>
  </si>
  <si>
    <t xml:space="preserve">Code verwijderen (na re-coderen of als coderingsfout)</t>
  </si>
  <si>
    <t xml:space="preserve">REVIEW</t>
  </si>
  <si>
    <t xml:space="preserve">Manueel beoordelen of consolidatie / verplaatsing nodig is</t>
  </si>
  <si>
    <t xml:space="preserve">Verdeling naar prioriteit</t>
  </si>
  <si>
    <t xml:space="preserve">Prioriteit</t>
  </si>
  <si>
    <t xml:space="preserve">Betekenis</t>
  </si>
  <si>
    <t xml:space="preserve">Hoog: snelle winst (spelfouten, evidente merges)</t>
  </si>
  <si>
    <t xml:space="preserve">Middel: vereist inhoudelijke beoordeling</t>
  </si>
  <si>
    <t xml:space="preserve">Laag: codes zijn substantieel en behoeven geen actie</t>
  </si>
  <si>
    <t xml:space="preserve">Inhoud werkbestand</t>
  </si>
  <si>
    <t xml:space="preserve">Codes</t>
  </si>
  <si>
    <t xml:space="preserve">Volledige lijst van alle gebruikte codes met frequentie, voorgestelde actie en motivering. Hoofdtabel voor de review.</t>
  </si>
  <si>
    <t xml:space="preserve">Imported_Solo</t>
  </si>
  <si>
    <t xml:space="preserve">De 10 quotaties die alleen onder "Imported annotation" staan en handmatig her-coderen vereisen.</t>
  </si>
  <si>
    <t xml:space="preserve">Spelfouten</t>
  </si>
  <si>
    <t xml:space="preserve">Compacte lijst van naamsverbeteringen voor snelle batch-rename in ATLAS.ti.</t>
  </si>
  <si>
    <t xml:space="preserve">Mergers</t>
  </si>
  <si>
    <t xml:space="preserve">Compacte lijst van voorgestelde MERGE_INTO acties (bron, doel, motivering).</t>
  </si>
  <si>
    <t xml:space="preserve">Per_Categorie</t>
  </si>
  <si>
    <t xml:space="preserve">Aggregaat per hoofdcategorie: aantal codes en aantal quotaties.</t>
  </si>
  <si>
    <t xml:space="preserve">Onbalans_check</t>
  </si>
  <si>
    <t xml:space="preserve">Codes met sterk afwijkende verdeling: top-zware solutions en sparse legal/technical requirements.</t>
  </si>
  <si>
    <t xml:space="preserve">Samples</t>
  </si>
  <si>
    <t xml:space="preserve">Drie voorbeeld-quotaties per code als steekproef voor consistentie-check.</t>
  </si>
  <si>
    <t xml:space="preserve">Code</t>
  </si>
  <si>
    <t xml:space="preserve">Categorie</t>
  </si>
  <si>
    <t xml:space="preserve">Subcode</t>
  </si>
  <si>
    <t xml:space="preserve">Diepte</t>
  </si>
  <si>
    <t xml:space="preserve">n quotaties</t>
  </si>
  <si>
    <t xml:space="preserve">n documenten</t>
  </si>
  <si>
    <t xml:space="preserve">% docs</t>
  </si>
  <si>
    <t xml:space="preserve">Doelcode</t>
  </si>
  <si>
    <t xml:space="preserve">Motivering</t>
  </si>
  <si>
    <t xml:space="preserve">Voorbeeld 1 (kort)</t>
  </si>
  <si>
    <t xml:space="preserve">Challenge: Semantic: Conceptual Divergence</t>
  </si>
  <si>
    <t xml:space="preserve">Challenge</t>
  </si>
  <si>
    <t xml:space="preserve">Semantic: Conceptual Divergence</t>
  </si>
  <si>
    <t xml:space="preserve">?</t>
  </si>
  <si>
    <t xml:space="preserve">Sterk theoretisch fundament (95 quotaties, breed in documenten), kerncode binnen semantische challenges.</t>
  </si>
  <si>
    <t xml:space="preserve">Another debate on the SUO mailing list has concerned the notions of organisation and position. Several criteria for any adequate formalisation of organisation have been proposed by various participant</t>
  </si>
  <si>
    <t xml:space="preserve">Challenge: Semantic: Data Heterogenity</t>
  </si>
  <si>
    <t xml:space="preserve">Semantic: Data Heterogenity</t>
  </si>
  <si>
    <t xml:space="preserve">Challenge: Semantic: Data Heterogeneity</t>
  </si>
  <si>
    <t xml:space="preserve">Spelfout (Heterogenity → Heterogeneity).</t>
  </si>
  <si>
    <t xml:space="preserve">Data-level conflicts are differences in data domains caused by the multiple representations and interpretations of similar data (Park and Ram, 2004). A good example could be fields related with the co</t>
  </si>
  <si>
    <t xml:space="preserve">Challenge: Semantic: Underspecified Meaning</t>
  </si>
  <si>
    <t xml:space="preserve">Semantic: Underspecified Meaning</t>
  </si>
  <si>
    <t xml:space="preserve">Substantieel onderscheidbaar van Conceptual Divergence (44 quotaties); behouden.</t>
  </si>
  <si>
    <t xml:space="preserve">Challenge: Organizational: Diversity</t>
  </si>
  <si>
    <t xml:space="preserve">Organizational: Diversity</t>
  </si>
  <si>
    <t xml:space="preserve">(check overlap met Cultural Differences)</t>
  </si>
  <si>
    <t xml:space="preserve">n=31; hoogste organizational challenge. Controleer of deze niet impliciet samen valt met Cultural Differences.</t>
  </si>
  <si>
    <t xml:space="preserve">Adaptation: albeit the ‘Once Only’ and ‘whole-ofgovernment'30 principles, there remain problems to overcome the lack of integration in e-government projects. According the United Nations -Government S</t>
  </si>
  <si>
    <t xml:space="preserve">Challenge: Semantic: Expressiveness Limit</t>
  </si>
  <si>
    <t xml:space="preserve">Semantic: Expressiveness Limit</t>
  </si>
  <si>
    <t xml:space="preserve">Onderscheidende technische beperking van representatietalen (25 quotaties).</t>
  </si>
  <si>
    <t xml:space="preserve">Other researchers have been at pains to build semantic bases for operations and geographic phenomena based on the argument that the traditional representation of digital data as (x, y), plus a semanti</t>
  </si>
  <si>
    <t xml:space="preserve">Challenge: Organizational: Lack of Expertise</t>
  </si>
  <si>
    <t xml:space="preserve">Organizational: Lack of Expertise</t>
  </si>
  <si>
    <t xml:space="preserve">n=23; substantieel.</t>
  </si>
  <si>
    <t xml:space="preserve">The guide highlighted some important heuristics and biasesidentified by researchers on elicitation: (1) anchoring and adjustment, as expertstend to adjust the answerto the previous one they gave fortw</t>
  </si>
  <si>
    <t xml:space="preserve">Challenge: Organizational: Cultural Differences</t>
  </si>
  <si>
    <t xml:space="preserve">Organizational: Cultural Differences</t>
  </si>
  <si>
    <t xml:space="preserve">(mogelijk merge met Diversity)</t>
  </si>
  <si>
    <t xml:space="preserve">Controleer overlap; eventueel samenvoegen tot 'Diversity / Cultural Differences'.</t>
  </si>
  <si>
    <t xml:space="preserve">Challenge: Semantic: Data Quality</t>
  </si>
  <si>
    <t xml:space="preserve">Semantic: Data Quality</t>
  </si>
  <si>
    <t xml:space="preserve">Hoge frequentie verwacht en breed thema; behouden, maar controleer overlap met Redundant and repeated data.</t>
  </si>
  <si>
    <t xml:space="preserve">Semantic layer interoperability is relevant in 91% of the cases selected, being one of the pillars of AI-based cases that support interoperability. Moreover, the usage of ontologies and taxonomies to </t>
  </si>
  <si>
    <t xml:space="preserve">Challenge: Semantic: Lack of Semantic Standards</t>
  </si>
  <si>
    <t xml:space="preserve">Semantic: Lack of Semantic Standards</t>
  </si>
  <si>
    <t xml:space="preserve">Distincte governance/standaardisatiecategorie; behouden.</t>
  </si>
  <si>
    <t xml:space="preserve">Open standards and their implementations can still lead to closed data spaces which create difficulties for sharing the information across data spaces when it comes to semantics.
Data space approaches</t>
  </si>
  <si>
    <t xml:space="preserve">Challenge: Technical: Incompatible Technique</t>
  </si>
  <si>
    <t xml:space="preserve">Technical: Incompatible Technique</t>
  </si>
  <si>
    <t xml:space="preserve">Behouden; absorbeert Different encoding and font types.</t>
  </si>
  <si>
    <t xml:space="preserve">Some software components also implement functionality of more than one protocol layer, slightly different from each other. For instance, an IDSA connector supports integration with a data broker actin</t>
  </si>
  <si>
    <t xml:space="preserve">Challenge: Organizational: Lack of Governance</t>
  </si>
  <si>
    <t xml:space="preserve">Organizational: Lack of Governance</t>
  </si>
  <si>
    <t xml:space="preserve">Distinct van Lack of Architecture en Lack of Collaboration.</t>
  </si>
  <si>
    <t xml:space="preserve">Challenge: Organizational: Lack of Collaboration</t>
  </si>
  <si>
    <t xml:space="preserve">Organizational: Lack of Collaboration</t>
  </si>
  <si>
    <t xml:space="preserve">Distinct organizational thema.</t>
  </si>
  <si>
    <t xml:space="preserve">What is noteworthy, from a social and policy perspective, is that it is likely that a national classification system for subsurface lithologies will be developed and implemented outside of a national </t>
  </si>
  <si>
    <t xml:space="preserve">Challenge: Organizational: Lack of Architecture</t>
  </si>
  <si>
    <t xml:space="preserve">Organizational: Lack of Architecture</t>
  </si>
  <si>
    <t xml:space="preserve">Distinct enterprise-architectuur thema.</t>
  </si>
  <si>
    <t xml:space="preserve">Governments have invested significant efforts over decades in designing tools and processes developed in line with standards for data exchange to increase interoperability between different public org</t>
  </si>
  <si>
    <t xml:space="preserve">Challenge: Semantic: Semantic Complexity and Scale</t>
  </si>
  <si>
    <t xml:space="preserve">Semantic: Semantic Complexity and Scale</t>
  </si>
  <si>
    <t xml:space="preserve">Coherent inhoudelijk thema, behouden.</t>
  </si>
  <si>
    <t xml:space="preserve">These 24 web service descriptions consist of ca 4000 data fields, used as inputs and outputs for web service operations. Around 3000 of them contain also humanreadable documentation. For the 4000 data</t>
  </si>
  <si>
    <t xml:space="preserve">Challenge: Semantic: Instability of Meaning</t>
  </si>
  <si>
    <t xml:space="preserve">Semantic: Instability of Meaning</t>
  </si>
  <si>
    <t xml:space="preserve">Diachrone dimensie van betekenis; theoretisch onderscheidend.</t>
  </si>
  <si>
    <t xml:space="preserve">Due to many factors in cross-institutional health care settings, the semantic alignment problem has been particularly difficult: 
• Partial overlap between schemas • Contextualized definitions of term</t>
  </si>
  <si>
    <t xml:space="preserve">Challenge: Organizational: Shortage in capacity</t>
  </si>
  <si>
    <t xml:space="preserve">Organizational: Shortage in capacity</t>
  </si>
  <si>
    <t xml:space="preserve">(mogelijk mergen met Lack of Expertise)</t>
  </si>
  <si>
    <t xml:space="preserve">Capaciteitstekort en expertisetekort overlappen vaak in publieke sector; controleer.</t>
  </si>
  <si>
    <t xml:space="preserve">These innovative techniques facilitate the users in effortlessly searching for and accessing pertinent information. Nevertheless, certain challenges must be overcome to successfully implement these te</t>
  </si>
  <si>
    <t xml:space="preserve">Challenge: Legal: Incompatibility</t>
  </si>
  <si>
    <t xml:space="preserve">Legal: Incompatibility</t>
  </si>
  <si>
    <t xml:space="preserve">Behouden; jurisdictie-incompatibiliteit is een wezenlijk thema.</t>
  </si>
  <si>
    <t xml:space="preserve">Common organizational problems to be solved in enterprise networking at this level include, but are not limited to: different human and organizational behaviors, different organizational structures, d</t>
  </si>
  <si>
    <t xml:space="preserve">Challenge: Organizational: Little Awareness</t>
  </si>
  <si>
    <t xml:space="preserve">Organizational: Little Awareness</t>
  </si>
  <si>
    <t xml:space="preserve">Behouden; spiegel van Capability and Learning Infrastructure-requirement.</t>
  </si>
  <si>
    <t xml:space="preserve">Decision makers and policy analysts at different administrative levels often lack a holistic view of the problem as there are semantic variations in policy documents due to domain-specific content. Fo</t>
  </si>
  <si>
    <t xml:space="preserve">Challenge: Organizational: Overhead Costs</t>
  </si>
  <si>
    <t xml:space="preserve">Organizational: Overhead Costs</t>
  </si>
  <si>
    <t xml:space="preserve">Behouden; absorbeert Challenge: Legal: Overhead.</t>
  </si>
  <si>
    <t xml:space="preserve">By far the largest effort in implementing data-related projects is data collection and processing because of its time consuming, tedious and expensive character (Longley 2005). Within this context, da</t>
  </si>
  <si>
    <t xml:space="preserve">Challenge: Semantic: Lack of shared Syntax</t>
  </si>
  <si>
    <t xml:space="preserve">Semantic: Lack of shared Syntax</t>
  </si>
  <si>
    <t xml:space="preserve">(eventueel mergen met Challenge: Technical)</t>
  </si>
  <si>
    <t xml:space="preserve">Syntax is technisch eerder dan semantisch; controleer of deze quotaties niet beter onder Challenge: Technical: Incompatible Technique vallen.</t>
  </si>
  <si>
    <t xml:space="preserve">Back in the 1990s, there were several barriers for accessing and using the spatial data and information necessary for environmental management and policy making in Europe. These included different dat</t>
  </si>
  <si>
    <t xml:space="preserve">Challenge: Semantic: Metadata Insufficiency</t>
  </si>
  <si>
    <t xml:space="preserve">Semantic: Metadata Insufficiency</t>
  </si>
  <si>
    <t xml:space="preserve">Onderscheidende sub-challenge; spiegel van requirement Existence of Meta-data.</t>
  </si>
  <si>
    <t xml:space="preserve">When re-using public sector information, until now Postbuzz had to look-up the coordinates of the provided addresses. In the past, the city of Ghent in Belgium annotated their news with the local addr</t>
  </si>
  <si>
    <t xml:space="preserve">Challenge: Technical: Interfacing Problems</t>
  </si>
  <si>
    <t xml:space="preserve">Technical: Interfacing Problems</t>
  </si>
  <si>
    <t xml:space="preserve">Behouden; absorbeert Transportation Problems.</t>
  </si>
  <si>
    <t xml:space="preserve">SWA applies the concept of “household” – a group of people sharing a residence, and RO applies the concept of “family” – people related by family bonds. The two agencies share information about citize</t>
  </si>
  <si>
    <t xml:space="preserve">Challenge: Organizational: Absence of agreement</t>
  </si>
  <si>
    <t xml:space="preserve">Organizational: Absence of agreement</t>
  </si>
  <si>
    <t xml:space="preserve">(mogelijk merge met Lack of Collaboration)</t>
  </si>
  <si>
    <t xml:space="preserve">Sterk overlap; afspraken-tekort en samenwerkingstekort manifest vergelijkbaar.</t>
  </si>
  <si>
    <t xml:space="preserve">[IS] identified also many barriers standing in the way of achieving truly beneficial semantic interoperability in healthcare information systems and resume them in this four 
points: 1) - too large nu</t>
  </si>
  <si>
    <t xml:space="preserve">Challenge: Semantic: Multi Language</t>
  </si>
  <si>
    <t xml:space="preserve">Semantic: Multi Language</t>
  </si>
  <si>
    <t xml:space="preserve">Specifiek empirisch fenomeen, met requirement-tegenhanger.</t>
  </si>
  <si>
    <t xml:space="preserve">The key to addressing this challenge is a common ontology capable of representing information to be exchanged through a “canonical form” of common types of evidence that are relevant to use cases of p</t>
  </si>
  <si>
    <t xml:space="preserve">Challenge: Organizational: Lack of implementation</t>
  </si>
  <si>
    <t xml:space="preserve">Organizational: Lack of implementation</t>
  </si>
  <si>
    <t xml:space="preserve">Vrij algemene noemer; controleer of dit niet beter elders past.</t>
  </si>
  <si>
    <t xml:space="preserve">During the analysis of data models, we observed a total lack of papers describing data models in sub-domain level. This may be caused by the lack of motivation for single organizations to report their</t>
  </si>
  <si>
    <t xml:space="preserve">Challenge: Organizational: Lack of Support</t>
  </si>
  <si>
    <t xml:space="preserve">Organizational: Lack of Support</t>
  </si>
  <si>
    <t xml:space="preserve">(specificeer: politiek, management of technisch?)</t>
  </si>
  <si>
    <t xml:space="preserve">Vaag; review of opsplitsen / mergen.</t>
  </si>
  <si>
    <t xml:space="preserve">Challenge: Legal: Privacy</t>
  </si>
  <si>
    <t xml:space="preserve">Legal: Privacy</t>
  </si>
  <si>
    <t xml:space="preserve">Behouden; AVG/privacy is dominant juridisch thema in publieke sector.</t>
  </si>
  <si>
    <t xml:space="preserve">for eGovernment Web Services. WebDG's main contributions revolve around two features [69]: 
• Composing e-government services. A framework for automatically composing e-government services is proposed</t>
  </si>
  <si>
    <t xml:space="preserve">Challenge: Technical: Security issues</t>
  </si>
  <si>
    <t xml:space="preserve">Technical: Security issues</t>
  </si>
  <si>
    <t xml:space="preserve">Behouden; absorbeert Identification and authentication issues.</t>
  </si>
  <si>
    <t xml:space="preserve">Challenge: Technical: Performance problems and scalability</t>
  </si>
  <si>
    <t xml:space="preserve">Technical: Performance problems and scalability</t>
  </si>
  <si>
    <t xml:space="preserve">Distincte thema; behouden.</t>
  </si>
  <si>
    <t xml:space="preserve">Non-standard Graph Database: Another alternative is to replace the standard RDF triple store by a graph database that has support for route plan querying (e.g. Stardog35 or Neo4J36 both with RDF suppo</t>
  </si>
  <si>
    <t xml:space="preserve">Challenge: Technical: Genral Technical Limitations</t>
  </si>
  <si>
    <t xml:space="preserve">Technical: Genral Technical Limitations</t>
  </si>
  <si>
    <t xml:space="preserve">Challenge: Technical: General Technical Limitations</t>
  </si>
  <si>
    <t xml:space="preserve">Spelfout (Genral → General). Tegelijk inhoudelijk een vergaarbak; overweeg op termijn re-coderen naar specifiekere subcategorie.</t>
  </si>
  <si>
    <t xml:space="preserve">Challenge: Legal: Clarity</t>
  </si>
  <si>
    <t xml:space="preserve">Legal: Clarity</t>
  </si>
  <si>
    <t xml:space="preserve">Onderscheidende juridische challenge.</t>
  </si>
  <si>
    <t xml:space="preserve">Legal validity of the data models is not fully verified – For e.g., birth of a person should be proved by a certificate issued by a legal verified competent authority in an electronic format with lega</t>
  </si>
  <si>
    <t xml:space="preserve">Challenge: Organizational: Little or no Instrumentarium</t>
  </si>
  <si>
    <t xml:space="preserve">Organizational: Little or no Instrumentarium</t>
  </si>
  <si>
    <t xml:space="preserve">Challenge: Organizational: Lack of Tooling and Instruments</t>
  </si>
  <si>
    <t xml:space="preserve">Term 'Instrumentarium' is in academisch Engels onduidelijk; herformuleer.</t>
  </si>
  <si>
    <t xml:space="preserve">With a multitude of e-service requests between government agencies, a human being, processing these service requests has to understand the implicit semantics and choreograph them to establish syntacti</t>
  </si>
  <si>
    <t xml:space="preserve">Challenge: Semantic: Redundant and repeated data</t>
  </si>
  <si>
    <t xml:space="preserve">Semantic: Redundant and repeated data</t>
  </si>
  <si>
    <t xml:space="preserve">(mogelijk mergen met Data Quality of Data Heterogeneity)</t>
  </si>
  <si>
    <t xml:space="preserve">Lijkt overlap met data quality; controleer of dit echt een aparte categorie is.</t>
  </si>
  <si>
    <t xml:space="preserve">The processes that drive these products are often digitalized in separate systems. Due to this, shadow databases arise which lead to lots of redundant and repeated data. The quality of this informatio</t>
  </si>
  <si>
    <t xml:space="preserve">Challenge: Organizational: No Availability of data</t>
  </si>
  <si>
    <t xml:space="preserve">Organizational: No Availability of data</t>
  </si>
  <si>
    <t xml:space="preserve">Concrete challenge, behouden.</t>
  </si>
  <si>
    <t xml:space="preserve">Looking back twenty years to the 1990s, the accessibility and online sharing of public sector data were minimal. Finding content was very difficult. Documentation was poor or missing and data were kep</t>
  </si>
  <si>
    <t xml:space="preserve">Challenge: Legal: Instability</t>
  </si>
  <si>
    <t xml:space="preserve">Legal: Instability</t>
  </si>
  <si>
    <t xml:space="preserve">Behouden; wetgeving verandert, distincte challenge.</t>
  </si>
  <si>
    <t xml:space="preserve">this common understanding is not provided by Union laws in all the domains involved in the provision of public services; moreover, some public services use to change their criteria frequently to be al</t>
  </si>
  <si>
    <t xml:space="preserve">Challenge: Technical: Machine Readability problems</t>
  </si>
  <si>
    <t xml:space="preserve">Technical: Machine Readability problems</t>
  </si>
  <si>
    <t xml:space="preserve">Onderscheidend; behouden.</t>
  </si>
  <si>
    <t xml:space="preserve">Another challenging aspect of semantic interoperability which is frequently encountered in knowledge domains with strong terminology compounds, such as the environment sector, derives from the multidi</t>
  </si>
  <si>
    <t xml:space="preserve">Challenge: Organizational: Personal biases</t>
  </si>
  <si>
    <t xml:space="preserve">Organizational: Personal biases</t>
  </si>
  <si>
    <t xml:space="preserve">n=2; persoonlijke biases hangen samen met diversiteit / culturele perspectieven.</t>
  </si>
  <si>
    <t xml:space="preserve">Challenge: Organizational: Data Fragmentation</t>
  </si>
  <si>
    <t xml:space="preserve">Organizational: Data Fragmentation</t>
  </si>
  <si>
    <t xml:space="preserve">(mogelijk mergen met Challenge: Semantic: Data Heterogeneity)</t>
  </si>
  <si>
    <t xml:space="preserve">n=2; fragmentation is conceptueel verwant met heterogeneity; check of niet beter onder Semantic-categorie.</t>
  </si>
  <si>
    <t xml:space="preserve">Data heterogeneity is caused by the separate data definitions or naming conventions maintained by both the DMV agencies depicted above i.e. DMV Licence Renewal and DMV Records for their customer recor</t>
  </si>
  <si>
    <t xml:space="preserve">Challenge: Legal: Restrictions</t>
  </si>
  <si>
    <t xml:space="preserve">Legal: Restrictions</t>
  </si>
  <si>
    <t xml:space="preserve">n=2; bredere container voor juridische beperkingen, absorbeert Licensing.</t>
  </si>
  <si>
    <t xml:space="preserve">Challenge: Legal: Licensing</t>
  </si>
  <si>
    <t xml:space="preserve">Legal: Licensing</t>
  </si>
  <si>
    <t xml:space="preserve">n=1; licentie-issues zijn een vorm van juridische restrictie. Of merge met Clarity als licentie-onduidelijkheid het thema is.</t>
  </si>
  <si>
    <t xml:space="preserve">However, a number of organisational and legal challenges remain. There is still a diversity of license conditions between countries and in some cases even among national public authorities.</t>
  </si>
  <si>
    <t xml:space="preserve">Challenge: Technical: Different encoding and font types</t>
  </si>
  <si>
    <t xml:space="preserve">Technical: Different encoding and font types</t>
  </si>
  <si>
    <t xml:space="preserve">n=1; encoding/font-incompatibiliteit is een specifieke vorm van technische incompatibiliteit.</t>
  </si>
  <si>
    <t xml:space="preserve">If it is a case of multilingualism, denominators are different for almost every concept when expressed in different languages. Different fonts used (Latin, Greek, Cyrillic, etc.) and often different s</t>
  </si>
  <si>
    <t xml:space="preserve">Challenge: Technical: Identification and authentication issues</t>
  </si>
  <si>
    <t xml:space="preserve">Technical: Identification and authentication issues</t>
  </si>
  <si>
    <t xml:space="preserve">n=1; identificatie/authenticatie hoort conceptueel binnen security.</t>
  </si>
  <si>
    <t xml:space="preserve">But beyond the technical levels, this lack of interoperability is also when it comes to semantics, identification, and authentication.</t>
  </si>
  <si>
    <t xml:space="preserve">Challenge: Legal: Overhead</t>
  </si>
  <si>
    <t xml:space="preserve">Legal: Overhead</t>
  </si>
  <si>
    <t xml:space="preserve">n=1; juridische overhead overlapt sterk met organisatorische overhead-kosten.</t>
  </si>
  <si>
    <t xml:space="preserve">The envisioned enablers would take the form of common standards (taxonomies, controlled vocabularies, thesauri, code lists, etc.) imposed via multilateral agreements, which in itself proved to be a su</t>
  </si>
  <si>
    <t xml:space="preserve">Challenge: Technical: Transportation Problems</t>
  </si>
  <si>
    <t xml:space="preserve">Technical: Transportation Problems</t>
  </si>
  <si>
    <t xml:space="preserve">n=1; transport is een interface-laag aspect.</t>
  </si>
  <si>
    <t xml:space="preserve">Discoverability not enabled.</t>
  </si>
  <si>
    <t xml:space="preserve">Requirement: Semantic: Existence and Use of Domain-Relevant Semantic Standards</t>
  </si>
  <si>
    <t xml:space="preserve">Requirement</t>
  </si>
  <si>
    <t xml:space="preserve">Semantic: Existence and Use of Domain-Relevant Semantic Standards</t>
  </si>
  <si>
    <t xml:space="preserve">n=42; kernrequirement.</t>
  </si>
  <si>
    <t xml:space="preserve">The Directive does not require a collection of new data, instead existing data should be transformed to fit agreed data models. The SDI is also developed and implemented in a decentralised and distrib</t>
  </si>
  <si>
    <t xml:space="preserve">Requirement: Semantic: Semantic Modelling Alignment</t>
  </si>
  <si>
    <t xml:space="preserve">Semantic: Semantic Modelling Alignment</t>
  </si>
  <si>
    <t xml:space="preserve">n=25; kernrequirement.</t>
  </si>
  <si>
    <t xml:space="preserve">Requirement: Organizational: Governance and Institutional Alignment</t>
  </si>
  <si>
    <t xml:space="preserve">Organizational: Governance and Institutional Alignment</t>
  </si>
  <si>
    <t xml:space="preserve">Substantieel, behouden.</t>
  </si>
  <si>
    <t xml:space="preserve">Legal interoperability must be used wherever possible to give formal structure to the political approaches which affect the application of interoperability in the Semantic interoperability problems 
6</t>
  </si>
  <si>
    <t xml:space="preserve">Requirement: Semantic: Rich and Accurate Conceptual Description</t>
  </si>
  <si>
    <t xml:space="preserve">Semantic: Rich and Accurate Conceptual Description</t>
  </si>
  <si>
    <t xml:space="preserve">Distinct van metadata-requirements (gaat over inhoud van descriptie).</t>
  </si>
  <si>
    <t xml:space="preserve">Requirement: Organizational: Communuities of Interest and Collaboration</t>
  </si>
  <si>
    <t xml:space="preserve">Organizational: Communuities of Interest and Collaboration</t>
  </si>
  <si>
    <t xml:space="preserve">Requirement: Organizational: Communities of Interest and Collaboration</t>
  </si>
  <si>
    <t xml:space="preserve">Spelfout (Communuities → Communities).</t>
  </si>
  <si>
    <t xml:space="preserve">Requirement: Semantic: Semantic Mapping and Alignment capabilities</t>
  </si>
  <si>
    <t xml:space="preserve">Semantic: Semantic Mapping and Alignment capabilities</t>
  </si>
  <si>
    <t xml:space="preserve">(check overlap met Semantic Modelling Alignment)</t>
  </si>
  <si>
    <t xml:space="preserve">Conceptueel verwant met Semantic Modelling Alignment; controleer of dit echt distinct is (mapping = runtime, alignment = design-time?).</t>
  </si>
  <si>
    <t xml:space="preserve">Requirement: Technical: Findable, Searchable and Visible</t>
  </si>
  <si>
    <t xml:space="preserve">Technical: Findable, Searchable and Visible</t>
  </si>
  <si>
    <t xml:space="preserve">FAIR-aligned; behouden.</t>
  </si>
  <si>
    <t xml:space="preserve">Requirement: Semantic: Formal and Shared Syntax for Knowledge Representation</t>
  </si>
  <si>
    <t xml:space="preserve">Semantic: Formal and Shared Syntax for Knowledge Representation</t>
  </si>
  <si>
    <t xml:space="preserve">Distincte requirement; spiegel van Lack of shared Syntax-challenge.</t>
  </si>
  <si>
    <t xml:space="preserve">The fact that the information generated by a computer must be processed by another system which must interpret its meaning correctly, leads to a series of additional complications which affect both th</t>
  </si>
  <si>
    <t xml:space="preserve">Requirement: Semantic: Modelling Flexibility</t>
  </si>
  <si>
    <t xml:space="preserve">Semantic: Modelling Flexibility</t>
  </si>
  <si>
    <t xml:space="preserve">Distincte requirement; behouden.</t>
  </si>
  <si>
    <t xml:space="preserve">The domain ontology requires an objective and clear description of terms or concepts in the domain; (2) completeness, the description of terms or concepts must be complete and fully express their mean</t>
  </si>
  <si>
    <t xml:space="preserve">Requirement: Technical: Sustainable and Trusted Infrastructure for Data Availability</t>
  </si>
  <si>
    <t xml:space="preserve">Technical: Sustainable and Trusted Infrastructure for Data Availability</t>
  </si>
  <si>
    <t xml:space="preserve">Substantieel; behouden.</t>
  </si>
  <si>
    <t xml:space="preserve">Semantic Gateway: To enable semantic translation (mediation) of information between collaborating parties, there is a need to provide semantic gateway services. Relying on semantic assets provided thr</t>
  </si>
  <si>
    <t xml:space="preserve">Requirement: Legal: Public Regulation for Interoperability</t>
  </si>
  <si>
    <t xml:space="preserve">Legal: Public Regulation for Interoperability</t>
  </si>
  <si>
    <t xml:space="preserve">Substantievere code (n&gt;2); behouden.</t>
  </si>
  <si>
    <t xml:space="preserve">Legal Frameworks – Major legal issues constraining semantic interoperability – accessibility, authentication, authorization, security, transparency, accountability and privacy, should be clearly speci</t>
  </si>
  <si>
    <t xml:space="preserve">Requirement: Organizational: Collaboration</t>
  </si>
  <si>
    <t xml:space="preserve">Organizational: Collaboration</t>
  </si>
  <si>
    <t xml:space="preserve">Generieke 'Collaboration' overlapt sterk met Communities of Interest and Collaboration.</t>
  </si>
  <si>
    <t xml:space="preserve">In order to deliver social security services, the European institutions and Member States will have to agree on a multitude of semantic specifications, such as descriptions of people, products, proces</t>
  </si>
  <si>
    <t xml:space="preserve">Requirement: Organizational: Capability and Learning Infrastructure</t>
  </si>
  <si>
    <t xml:space="preserve">Organizational: Capability and Learning Infrastructure</t>
  </si>
  <si>
    <t xml:space="preserve">Behouden; spiegel van Lack of Expertise.</t>
  </si>
  <si>
    <t xml:space="preserve">Kotis et al. [25] emphasized that ontologies should be collaboratively and iteratively developed, evolved, evaluated, and discussed within the relevant communities of practice, thereby shaping domain-</t>
  </si>
  <si>
    <t xml:space="preserve">Requirement: Technical: Security and Privacy</t>
  </si>
  <si>
    <t xml:space="preserve">Technical: Security and Privacy</t>
  </si>
  <si>
    <t xml:space="preserve">Behouden.</t>
  </si>
  <si>
    <t xml:space="preserve">Requirement: Organizational: Structural Process Alignment</t>
  </si>
  <si>
    <t xml:space="preserve">Organizational: Structural Process Alignment</t>
  </si>
  <si>
    <t xml:space="preserve">Distinct, gaat over procesharmonisatie.</t>
  </si>
  <si>
    <t xml:space="preserve">Guiding Principles – Clear principles and strategic drivers underpinning semantic interoperability within government and between government and its stakeholders is critical for developing semantic int</t>
  </si>
  <si>
    <t xml:space="preserve">Requirement: Technical: Existence of Shared Technical Standards</t>
  </si>
  <si>
    <t xml:space="preserve">Technical: Existence of Shared Technical Standards</t>
  </si>
  <si>
    <t xml:space="preserve">To achieve seamless interoperability, organizations must implement business activity interaction patterns with a technology of choice. An implementation with semantic technology is expected to provide</t>
  </si>
  <si>
    <t xml:space="preserve">Requirement: Organizational: Standardization and Semantic Control</t>
  </si>
  <si>
    <t xml:space="preserve">Organizational: Standardization and Semantic Control</t>
  </si>
  <si>
    <t xml:space="preserve">Distincte governance-laag.</t>
  </si>
  <si>
    <t xml:space="preserve">Aspects of organizational interoperability is understood to mean those elements that make it possible to know and understand policies concerning access to data and/or services and their use, personal </t>
  </si>
  <si>
    <t xml:space="preserve">Requirement: Legal: Compliance and Enforcement Mechanisms</t>
  </si>
  <si>
    <t xml:space="preserve">Legal: Compliance and Enforcement Mechanisms</t>
  </si>
  <si>
    <t xml:space="preserve">Distinct mechanisme-niveau requirement.</t>
  </si>
  <si>
    <t xml:space="preserve">Requirement: Organizational: Evaluation and Feedback Mechanisms</t>
  </si>
  <si>
    <t xml:space="preserve">Organizational: Evaluation and Feedback Mechanisms</t>
  </si>
  <si>
    <t xml:space="preserve">Distinct.</t>
  </si>
  <si>
    <t xml:space="preserve">A service evaluation process and the availability of specific service metrics and indexes provide a high level of organizational interoperability.
Outcome indicators (cost per service, number of users</t>
  </si>
  <si>
    <t xml:space="preserve">Requirement: Semantic: Explicit Provenance Documentation</t>
  </si>
  <si>
    <t xml:space="preserve">Semantic: Explicit Provenance Documentation</t>
  </si>
  <si>
    <t xml:space="preserve">Distincte FAIR-gerelateerde requirement.</t>
  </si>
  <si>
    <t xml:space="preserve">To distinguish provenance of concepts, the following annotations are used: 
• dcterms:description 11 to provide the term’s definition as it appears in source.
• rdfs:seeAlso to link the concept to its</t>
  </si>
  <si>
    <t xml:space="preserve">Requirement: Technical: Standardized and Formally Governed Accessibility</t>
  </si>
  <si>
    <t xml:space="preserve">Technical: Standardized and Formally Governed Accessibility</t>
  </si>
  <si>
    <t xml:space="preserve">(check overlap met Existence of Shared Technical Standards)</t>
  </si>
  <si>
    <t xml:space="preserve">Twee verwante 'standards'-codes; controleer onderscheid.</t>
  </si>
  <si>
    <t xml:space="preserve">Requirement: Organizational: Semantic Construct Design and Maintenance</t>
  </si>
  <si>
    <t xml:space="preserve">Organizational: Semantic Construct Design and Maintenance</t>
  </si>
  <si>
    <t xml:space="preserve">Operationele requirement onderhoud van semantische constructen.</t>
  </si>
  <si>
    <t xml:space="preserve">SEHKE differs from the majority of semantic asset creation or managed tools in the following aspects: • True online collaboration in creation and management of assets; • Iterative process for achievin</t>
  </si>
  <si>
    <t xml:space="preserve">Requirement: Semantic: Structured and Independently Accessible Metadata</t>
  </si>
  <si>
    <t xml:space="preserve">Semantic: Structured and Independently Accessible Metadata</t>
  </si>
  <si>
    <t xml:space="preserve">(check overlap met Existence of Meta-data)</t>
  </si>
  <si>
    <t xml:space="preserve">Twee metadata-requirements; controleer of niet samen te voegen.</t>
  </si>
  <si>
    <t xml:space="preserve">Clearinghouse – Developing a central metadata registry to manage the lifecycle of semantic assets on the Central Semantic Asset Repository, providing search and retrieval capabilities for semantic ass</t>
  </si>
  <si>
    <t xml:space="preserve">Requirement: Legal: Public Policy for Interoperability</t>
  </si>
  <si>
    <t xml:space="preserve">Legal: Public Policy for Interoperability</t>
  </si>
  <si>
    <t xml:space="preserve">(check verschil met Public Regulation)</t>
  </si>
  <si>
    <t xml:space="preserve">Beleid versus regelgeving onderscheid is theoretisch waardevol maar empirisch dun; controleer.</t>
  </si>
  <si>
    <t xml:space="preserve">Requirement: Semantic: Existence of Meta-data</t>
  </si>
  <si>
    <t xml:space="preserve">Semantic: Existence of Meta-data</t>
  </si>
  <si>
    <t xml:space="preserve">(mogelijk mergen met Structured and Independently Accessible Metadata)</t>
  </si>
  <si>
    <t xml:space="preserve">Bestaan van metadata is een minimum-versie van het 'gestructureerd toegankelijk' requirement. Mogelijk samenvoegen.</t>
  </si>
  <si>
    <t xml:space="preserve">Requirement: Semantic: Mutlilingual Representation</t>
  </si>
  <si>
    <t xml:space="preserve">Semantic: Mutlilingual Representation</t>
  </si>
  <si>
    <t xml:space="preserve">Requirement: Semantic: Multilingual Representation</t>
  </si>
  <si>
    <t xml:space="preserve">Spelfout (Mutlilingual → Multilingual).</t>
  </si>
  <si>
    <t xml:space="preserve">Flexibility requirements should focus, at least, on a common understanding and actionability for all communities of practice involved, as well as on supporting changes over time, multilingualism, and </t>
  </si>
  <si>
    <t xml:space="preserve">Requirement: Organizational: Operational Use and Institutional Embedding</t>
  </si>
  <si>
    <t xml:space="preserve">Organizational: Operational Use and Institutional Embedding</t>
  </si>
  <si>
    <t xml:space="preserve">Distinct; gaat over feitelijk gebruik na implementatie.</t>
  </si>
  <si>
    <t xml:space="preserve">The Finto.fi service has grown into a popular national open service. In 2019 it was used by 280 000 different users and its APIs were called 32 million times. The users include, e.g., museums, whose c</t>
  </si>
  <si>
    <t xml:space="preserve">Requirement: Technical: Integration of services and applications</t>
  </si>
  <si>
    <t xml:space="preserve">Technical: Integration of services and applications</t>
  </si>
  <si>
    <t xml:space="preserve">Distinct, behouden.</t>
  </si>
  <si>
    <t xml:space="preserve">Integration of services. What are known as service-oriented architectures (SOA) are used for the integration of services and business processes. This is software architecture concept which defines the</t>
  </si>
  <si>
    <t xml:space="preserve">Requirement: Semantic: Adequate Data Quality</t>
  </si>
  <si>
    <t xml:space="preserve">Semantic: Adequate Data Quality</t>
  </si>
  <si>
    <t xml:space="preserve">Kernrequirement, behouden.</t>
  </si>
  <si>
    <t xml:space="preserve">The three most common actions that AIbased systems perform to boost data interoperability are: Detect (42%), Structure (22%) and Classify (16%). Moreover, these actions, taking advantage of the capabi</t>
  </si>
  <si>
    <t xml:space="preserve">Requirement: Organizational: Public Asset Orientation Toward Data</t>
  </si>
  <si>
    <t xml:space="preserve">Organizational: Public Asset Orientation Toward Data</t>
  </si>
  <si>
    <t xml:space="preserve">Distincte filosofische/strategische requirement.</t>
  </si>
  <si>
    <t xml:space="preserve">In the UK, the strategy started from the data itself. Opening up the UK government data (data.gov.uk) emphasized why and how Linked Data was introduced and how a web of linked government data was crea</t>
  </si>
  <si>
    <t xml:space="preserve">Requirement: Technical: Scalable en Performant</t>
  </si>
  <si>
    <t xml:space="preserve">Technical: Scalable en Performant</t>
  </si>
  <si>
    <t xml:space="preserve">Requirement: Technical: Scalable and Performant</t>
  </si>
  <si>
    <t xml:space="preserve">Nederlands 'en' moet 'and' zijn.</t>
  </si>
  <si>
    <t xml:space="preserve">Efficiency of Performance: The alignment latency must support batch and near real-time workflows.</t>
  </si>
  <si>
    <t xml:space="preserve">Requirement: Organizational: Clear Terms and Conditions of Use</t>
  </si>
  <si>
    <t xml:space="preserve">Organizational: Clear Terms and Conditions of Use</t>
  </si>
  <si>
    <t xml:space="preserve">(check overlap met Requirement: Legal-codes)</t>
  </si>
  <si>
    <t xml:space="preserve">n=2; lijkt sterk juridisch; controleer plaatsing.</t>
  </si>
  <si>
    <t xml:space="preserve">Trust management: Enterprise Networking is by nature based on the fact that two or more business entities work together, either temporarily (virtual organization) or for a long term (networked organiz</t>
  </si>
  <si>
    <t xml:space="preserve">Requirement: Organizational: Political Support</t>
  </si>
  <si>
    <t xml:space="preserve">Organizational: Political Support</t>
  </si>
  <si>
    <t xml:space="preserve">n=2; politieke steun is distinct organizational requirement, behouden.</t>
  </si>
  <si>
    <t xml:space="preserve">Public administrations should support and monitor these information management processes which should lead to better interoperability.</t>
  </si>
  <si>
    <t xml:space="preserve">Requirement: Organizational: Compliance Mechanismes</t>
  </si>
  <si>
    <t xml:space="preserve">Organizational: Compliance Mechanismes</t>
  </si>
  <si>
    <t xml:space="preserve">Requirement: Organizational: Compliance Mechanisms</t>
  </si>
  <si>
    <t xml:space="preserve">Spelfout (Mechanismes → Mechanisms). Tegelijk overlap met Requirement: Legal: Compliance and Enforcement Mechanisms; controleer scope.</t>
  </si>
  <si>
    <t xml:space="preserve">The 7th star is given to a data publication, if the publication includes some kind of evaluation that the data actually conforms to the provided schemas using, e.g., SHACL36 or ShEx37 [53]. The idea h</t>
  </si>
  <si>
    <t xml:space="preserve">Requirement: Technical: Persistent and Globally Unique Identification</t>
  </si>
  <si>
    <t xml:space="preserve">Technical: Persistent and Globally Unique Identification</t>
  </si>
  <si>
    <t xml:space="preserve">n=1, maar theoretisch onmisbaar (PID, URI, identifier-strategy). Beoordeel of meer quotaties later toegevoegd moeten worden of dat dit echt onderbelicht is in de literatuur.</t>
  </si>
  <si>
    <t xml:space="preserve">In INSPIRE data specifications refer to predefined interoperability target specifications (Tóth et al. 2012). They contain agreed data models, based on a generic conceptual data model (European Commis</t>
  </si>
  <si>
    <t xml:space="preserve">Requirement: Technical: Technical Interconnection</t>
  </si>
  <si>
    <t xml:space="preserve">Technical: Technical Interconnection</t>
  </si>
  <si>
    <t xml:space="preserve">n=1; technische interconnectie en integratie van services/applicaties zijn praktisch identiek.</t>
  </si>
  <si>
    <t xml:space="preserve">Interconnection. Defines the policies and technologies for connection of systems of different institutions of Public networks though communications protocols.</t>
  </si>
  <si>
    <t xml:space="preserve">Requirement: Legal: Information serves as legal evidence</t>
  </si>
  <si>
    <t xml:space="preserve">Legal: Information serves as legal evidence</t>
  </si>
  <si>
    <t xml:space="preserve">n=1; specifieke en theoretisch interessante requirement (data als bewijs).</t>
  </si>
  <si>
    <t xml:space="preserve">To this end, concepts, meanings and syntaxes should be accurately identified to represent evidence in a way, that is, understandable and actionable for all parties involved. In particular, the cross-b</t>
  </si>
  <si>
    <t xml:space="preserve">Requirement: Legal: Statutory Interoperability Authority</t>
  </si>
  <si>
    <t xml:space="preserve">Legal: Statutory Interoperability Authority</t>
  </si>
  <si>
    <t xml:space="preserve">n=1; specifieke en distincte juridische voorwaarde, behouden.</t>
  </si>
  <si>
    <t xml:space="preserve">Competent issuing authorities are therefore responsible for mapping their national evidence and national procedural requirements to the canonical evidence types.</t>
  </si>
  <si>
    <t xml:space="preserve">Requirement: Organizational: Incentive Strategies</t>
  </si>
  <si>
    <t xml:space="preserve">Organizational: Incentive Strategies</t>
  </si>
  <si>
    <t xml:space="preserve">n=1; theoretisch belangrijk (governance van semantische adoptie via prikkels).</t>
  </si>
  <si>
    <t xml:space="preserve">Compliance Strategy – A strategy to ensure that participating organizations comply with stipulated processes and discharge legal obligations. This could be developed along an incentives system.</t>
  </si>
  <si>
    <t xml:space="preserve">Requirement: Technical: Presence of Common Semantic Tooling</t>
  </si>
  <si>
    <t xml:space="preserve">Technical: Presence of Common Semantic Tooling</t>
  </si>
  <si>
    <t xml:space="preserve">n=1; tooling is operationalisatie van standaarden, kan daaronder vallen.</t>
  </si>
  <si>
    <t xml:space="preserve">The mashup development environment is required to support semantic information processing;</t>
  </si>
  <si>
    <t xml:space="preserve">Requirement: Legal: Clear Copyright and Licensing Statements</t>
  </si>
  <si>
    <t xml:space="preserve">Legal: Clear Copyright and Licensing Statements</t>
  </si>
  <si>
    <t xml:space="preserve">n=1; thematisch belangrijk voor open data, behouden ondanks lage frequentie.</t>
  </si>
  <si>
    <t xml:space="preserve">To ensure that anyone can freely use and distribute the results of the project, the OSLO-specification and all related documentation15 were published under an Open License. OSLO adopted the ISA Open M</t>
  </si>
  <si>
    <t xml:space="preserve">Solution Type: Semantic Assets</t>
  </si>
  <si>
    <t xml:space="preserve">Solution Type</t>
  </si>
  <si>
    <t xml:space="preserve">Semantic Assets</t>
  </si>
  <si>
    <t xml:space="preserve">(eventueel splitsen)</t>
  </si>
  <si>
    <t xml:space="preserve">n=192, hoogste frequentie. Brede container; overweeg of binnen 'Semantic Assets' subtypes (vocabulary, taxonomy, thesaurus, ontology, knowledge graph) onderscheiden moeten worden voor meer analytische diepte.</t>
  </si>
  <si>
    <t xml:space="preserve">According to the experience of the DE4A semantic team and the elicited knowledge of the related functioning of public administrations, the DEOSEF’s three layers are: 
—Lower-level layer or case-specif</t>
  </si>
  <si>
    <t xml:space="preserve">Solution Type: Implemented Solutions</t>
  </si>
  <si>
    <t xml:space="preserve">Implemented Solutions</t>
  </si>
  <si>
    <t xml:space="preserve">Empirisch onderbouwd, behouden.</t>
  </si>
  <si>
    <t xml:space="preserve">The EESSI project contains two major blocks: (1) A Central EESSI Project that delivers a pan-European platform (called Central EESSI Platform or Central EESSI System) for electronic information exchan</t>
  </si>
  <si>
    <t xml:space="preserve">Solution Type: Standards and Specifications</t>
  </si>
  <si>
    <t xml:space="preserve">Standards and Specifications</t>
  </si>
  <si>
    <t xml:space="preserve">Ontology based approaches use standardized vocabulary and structured hierarchical representations of knowledge (e.g., SNOMED CT, ICD, LOINC, RxNorm) to bring together the health care data and provide </t>
  </si>
  <si>
    <t xml:space="preserve">Solution Type: Common Frameworks and Tooling</t>
  </si>
  <si>
    <t xml:space="preserve">Common Frameworks and Tooling</t>
  </si>
  <si>
    <t xml:space="preserve">Solution Type: Guiding Principles</t>
  </si>
  <si>
    <t xml:space="preserve">Guiding Principles</t>
  </si>
  <si>
    <t xml:space="preserve">Behouden; FAIR e.d.</t>
  </si>
  <si>
    <t xml:space="preserve">Solution Type: Methodologies</t>
  </si>
  <si>
    <t xml:space="preserve">Methodologies</t>
  </si>
  <si>
    <t xml:space="preserve">Solution Type: Legal Interoperability Measures</t>
  </si>
  <si>
    <t xml:space="preserve">Legal Interoperability Measures</t>
  </si>
  <si>
    <t xml:space="preserve">Solution Type: Assessment tools and Evaluation</t>
  </si>
  <si>
    <t xml:space="preserve">Assessment tools and Evaluation</t>
  </si>
  <si>
    <t xml:space="preserve">Semantic Relatedness Score (SRS) is determined based on a hybrid matching technique that combines syntactic and semantic matching. The scores are used to populate a similarity matrix which is used as </t>
  </si>
  <si>
    <t xml:space="preserve">Solution Type: Query based</t>
  </si>
  <si>
    <t xml:space="preserve">Query based</t>
  </si>
  <si>
    <t xml:space="preserve">(check of dit een 'Type' of een 'Mechanism' is)</t>
  </si>
  <si>
    <t xml:space="preserve">Conceptueel hoort 'query based' eerder bij Solution Interoperability Mechanism dan bij Type.</t>
  </si>
  <si>
    <t xml:space="preserve">Discovery: SIM shall allow inferring which resources are related to a need. Given the descriptions of a need, the description of a set of resources, and particular criteria relating them, a discovery </t>
  </si>
  <si>
    <t xml:space="preserve">Solution Type: Documentation</t>
  </si>
  <si>
    <t xml:space="preserve">Documentation</t>
  </si>
  <si>
    <t xml:space="preserve">These registers facilitate semantic interoperability by offering common, persistent and clear descriptions of infrastructure items, referenced through unique identifiers.
Furthermore, the content is n</t>
  </si>
  <si>
    <t xml:space="preserve">Solution Type: Agreements</t>
  </si>
  <si>
    <t xml:space="preserve">Agreements</t>
  </si>
  <si>
    <t xml:space="preserve">n=2; afspraken zijn juridisch/organisatorische maatregelen.</t>
  </si>
  <si>
    <t xml:space="preserve">One option to go beyond the closed data spaces is to start making agreements for data space interoperability. This would mean having some common agreements of how to go about with semantics and having</t>
  </si>
  <si>
    <t xml:space="preserve">Solution Type: Consensus</t>
  </si>
  <si>
    <t xml:space="preserve">Consensus</t>
  </si>
  <si>
    <t xml:space="preserve">n=2; consensus is doorgaans uitkomst van guiding principles / standards.</t>
  </si>
  <si>
    <t xml:space="preserve">The effort was begun in May 2000 with an e-mail discussion list, and since then there have been over 6000 e-mail messages among 170 subscribers. These subscribers include representatives from governme</t>
  </si>
  <si>
    <t xml:space="preserve">Solution Type: Validation</t>
  </si>
  <si>
    <t xml:space="preserve">Validation</t>
  </si>
  <si>
    <t xml:space="preserve">n=1; validatie hoort onder evaluatie.</t>
  </si>
  <si>
    <t xml:space="preserve">Validations planned are based on the business model and are therefore described in XSDs Schemas generated by the modelling extraction tool especially designed for this project. Each time a validation </t>
  </si>
  <si>
    <t xml:space="preserve">Solution Modelling type: Ontology</t>
  </si>
  <si>
    <t xml:space="preserve">Solution Modelling type</t>
  </si>
  <si>
    <t xml:space="preserve">Ontology</t>
  </si>
  <si>
    <t xml:space="preserve">Dominante modelleringsvorm (n=77).</t>
  </si>
  <si>
    <t xml:space="preserve">There are some relevant commonly used vocabularies focusing on a specific domains: to describe persons there is the Friend of a Friend (FOAF) vocabulary7 . The Simple Knowledge Organization Scheme8 (S</t>
  </si>
  <si>
    <t xml:space="preserve">Solution Modelling type: RDF</t>
  </si>
  <si>
    <t xml:space="preserve">RDF</t>
  </si>
  <si>
    <t xml:space="preserve">Computing applications in different institutions and countries are involved and this match with Level 2 in Dublin Core: interoperability among metadata-using applications is based on the shared formal</t>
  </si>
  <si>
    <t xml:space="preserve">Solution Modelling type: UML</t>
  </si>
  <si>
    <t xml:space="preserve">UML</t>
  </si>
  <si>
    <t xml:space="preserve">Data modelling is probably the most popular category in the eGovernment modelling area due to the long tradition, the extended know-how and the maturity of the available supporting technologies after </t>
  </si>
  <si>
    <t xml:space="preserve">Solution Modelling type: XML</t>
  </si>
  <si>
    <t xml:space="preserve">XML</t>
  </si>
  <si>
    <t xml:space="preserve">A successful local usage of XML Schemas can be found in the Finnish parliament. From the beginning, the focus was not restricted to standardization of documents formats, but rather to the development </t>
  </si>
  <si>
    <t xml:space="preserve">Solution Modelling type: OWL</t>
  </si>
  <si>
    <t xml:space="preserve">OWL</t>
  </si>
  <si>
    <t xml:space="preserve">statements are described using XBRL (eXtensible Business Reporting Language)10, an XML based open standard which supports information modelling and the expression of semantic meaning commonly required</t>
  </si>
  <si>
    <t xml:space="preserve">Solution Modelling type: Knowledge graph</t>
  </si>
  <si>
    <t xml:space="preserve">Knowledge graph</t>
  </si>
  <si>
    <t xml:space="preserve">Substantieel.</t>
  </si>
  <si>
    <t xml:space="preserve">One promising avenue for such exploration is the use of knowledge graphs, which have already been successfully implemented by tech giants such as Google and widely used in several contexts [8] – [12].</t>
  </si>
  <si>
    <t xml:space="preserve">Solution Modelling type: XBRL</t>
  </si>
  <si>
    <t xml:space="preserve">XBRL</t>
  </si>
  <si>
    <t xml:space="preserve">n=2; domein-specifieke standaard.</t>
  </si>
  <si>
    <t xml:space="preserve">Solution Modelling type: OntoUML</t>
  </si>
  <si>
    <t xml:space="preserve">OntoUML</t>
  </si>
  <si>
    <t xml:space="preserve">n=1; specifieke ontologische modelleertaal; behouden.</t>
  </si>
  <si>
    <t xml:space="preserve">We use OntoUML for representing the ontologies in the ON. OntoUML is an ontologically well-founded profile for UML 2.0 class diagrams, grounded in UFO [14].</t>
  </si>
  <si>
    <t xml:space="preserve">Solution Modelling type: Paper</t>
  </si>
  <si>
    <t xml:space="preserve">Paper</t>
  </si>
  <si>
    <t xml:space="preserve">n=1; 'Paper' als modelleringstype lijkt een coderingsfout. Verwijderen of her-coderen.</t>
  </si>
  <si>
    <t xml:space="preserve">Currently, the cross-border exchanges predominantly take place through the use of paper E-forms.</t>
  </si>
  <si>
    <t xml:space="preserve">Solution Modelling type: WSDL</t>
  </si>
  <si>
    <t xml:space="preserve">WSDL</t>
  </si>
  <si>
    <t xml:space="preserve">n=1; WSDL is een XML-dialect, kan daaronder vallen tenzij specifiek behouden voor service-context.</t>
  </si>
  <si>
    <t xml:space="preserve">Semantic annotation of databases and data structure includes the description of every single data element, in a form of reference to the respective entry in the domain ontology. The languages used for</t>
  </si>
  <si>
    <t xml:space="preserve">Solution Modelling type: SHACL</t>
  </si>
  <si>
    <t xml:space="preserve">SHACL</t>
  </si>
  <si>
    <t xml:space="preserve">n=1; specifieke validatietaal, theoretisch onmisbaar binnen RDF-stack.</t>
  </si>
  <si>
    <t xml:space="preserve">Any design of a business activity and its interaction pattern are constraints to the semantic model, represented by SHACL (SHApe Constraint Language)</t>
  </si>
  <si>
    <t xml:space="preserve">Solution Modelling type: Vector Database</t>
  </si>
  <si>
    <t xml:space="preserve">Vector Database</t>
  </si>
  <si>
    <t xml:space="preserve">n=1; opkomend, behouden voor toekomstige relevantie.</t>
  </si>
  <si>
    <t xml:space="preserve">The first step in our preprocessing procedure is to generate two dictionaries: one for general English language usage and one for domain-specific usage. For the general language dictionary, we have us</t>
  </si>
  <si>
    <t xml:space="preserve">Solution Modelling type: EDI</t>
  </si>
  <si>
    <t xml:space="preserve">EDI</t>
  </si>
  <si>
    <t xml:space="preserve">n=1; legacy maar inhoudelijk distinct.</t>
  </si>
  <si>
    <t xml:space="preserve">It overcomes the limitations of standards and ICT technology such as EDI, XML, and RosettaNet which do not allow polymorphism and inheritance. For example what we have demonstrated in rule 5.</t>
  </si>
  <si>
    <t xml:space="preserve">Solution Modelling type: RosettaNet</t>
  </si>
  <si>
    <t xml:space="preserve">RosettaNet</t>
  </si>
  <si>
    <t xml:space="preserve">n=1; B2B legacy standaard, behouden voor historische context.</t>
  </si>
  <si>
    <t xml:space="preserve">Solution Modelling type: Relatonal Database</t>
  </si>
  <si>
    <t xml:space="preserve">Relatonal Database</t>
  </si>
  <si>
    <t xml:space="preserve">Solution Modelling type: Relational Database</t>
  </si>
  <si>
    <t xml:space="preserve">Spelfout (Relatonal → Relational).</t>
  </si>
  <si>
    <t xml:space="preserve">To increase digital interoperability among heterogeneous data and information systems, ERA supports and maintains a set of base registries,4 in the form of relational databases, where organisations in</t>
  </si>
  <si>
    <t xml:space="preserve">Solution Governance Paradigm: Central Governance</t>
  </si>
  <si>
    <t xml:space="preserve">Solution Governance Paradigm</t>
  </si>
  <si>
    <t xml:space="preserve">Central Governance</t>
  </si>
  <si>
    <t xml:space="preserve">Solution Governance Paradigm: Federated Governance</t>
  </si>
  <si>
    <t xml:space="preserve">Federated Governance</t>
  </si>
  <si>
    <t xml:space="preserve">Solution Governance Paradigm: Community Based Governance</t>
  </si>
  <si>
    <t xml:space="preserve">Community Based Governance</t>
  </si>
  <si>
    <t xml:space="preserve">Solution Governance Paradigm: Hybrid Governance</t>
  </si>
  <si>
    <t xml:space="preserve">Hybrid Governance</t>
  </si>
  <si>
    <t xml:space="preserve">We propose that domain specific local ontologies in public agencies e.g. DMV Licence Renewal and DMV Records maintain their own naming conventions for their customer records and at the same time borro</t>
  </si>
  <si>
    <t xml:space="preserve">Solution Governance Paradigm: Decentral Governance</t>
  </si>
  <si>
    <t xml:space="preserve">Decentral Governance</t>
  </si>
  <si>
    <t xml:space="preserve">n=1; decentraal en federated overlappen sterk in semantic interop literatuur.</t>
  </si>
  <si>
    <t xml:space="preserve">ublic administration should raise internal awareness regarding the possibilities of AI to improve interoperability, experimenting and discovering the benefits and potential to be exploited.</t>
  </si>
  <si>
    <t xml:space="preserve">Solution Scope: Domain / Sector oriented</t>
  </si>
  <si>
    <t xml:space="preserve">Solution Scope</t>
  </si>
  <si>
    <t xml:space="preserve">Domain / Sector oriented</t>
  </si>
  <si>
    <t xml:space="preserve">From the diagnosis of the public security IS interoperability problem, considering the complexity and size of the problem, we decided to employ an ontologybased solution, adopting a layered ON archite</t>
  </si>
  <si>
    <t xml:space="preserve">Solution Scope: Jurisdictional / Geographical oriented</t>
  </si>
  <si>
    <t xml:space="preserve">Jurisdictional / Geographical oriented</t>
  </si>
  <si>
    <t xml:space="preserve">In the Digital Europe for All project (DE4A), semantic interoperability agreements are established through canonical evidence models, specified in close collaboration with domain experts. In principle</t>
  </si>
  <si>
    <t xml:space="preserve">Solution Scope: Generic Scope</t>
  </si>
  <si>
    <t xml:space="preserve">Generic Scope</t>
  </si>
  <si>
    <t xml:space="preserve">Solution Scope: Organizational oriented</t>
  </si>
  <si>
    <t xml:space="preserve">Organizational oriented</t>
  </si>
  <si>
    <t xml:space="preserve">The ATHENA Interoperability Framework (AIF): This framework has been developed as part of the EU-funded R&amp;D project ATHENA (http://modelbased.net/aif/). AIF provides a compound framework and associate</t>
  </si>
  <si>
    <t xml:space="preserve">Solution Scope: System / Application</t>
  </si>
  <si>
    <t xml:space="preserve">System / Application</t>
  </si>
  <si>
    <t xml:space="preserve">The introduction of semantic reusable web components in e-government systems proved to be a significant step towards achieving better interoperability. By implementing a semantic web approach, Žitnik </t>
  </si>
  <si>
    <t xml:space="preserve">Solution Interoperability Mechanism: Mediation-based</t>
  </si>
  <si>
    <t xml:space="preserve">Solution Interoperability Mechanism</t>
  </si>
  <si>
    <t xml:space="preserve">Mediation-based</t>
  </si>
  <si>
    <t xml:space="preserve">There are several classification schemes for linguistic content including Levina’s classification of English verbs [23], WordNet semantic network classification of nouns, verbs, adjectives, and adverb</t>
  </si>
  <si>
    <t xml:space="preserve">Solution Interoperability Mechanism: Conformance-based</t>
  </si>
  <si>
    <t xml:space="preserve">Conformance-based</t>
  </si>
  <si>
    <t xml:space="preserve">Solution Interoperability Mechanism: Identifier-based</t>
  </si>
  <si>
    <t xml:space="preserve">Identifier-based</t>
  </si>
  <si>
    <t xml:space="preserve">In contrast, this paper concerns the question: How to Create a National Cross-domain Ontology and Linked Data Infrastructure and Use It on the Semantic Web. This problem is addressed by presenting, di</t>
  </si>
  <si>
    <t xml:space="preserve">Solution Interoperability Mechanism: Rule-based</t>
  </si>
  <si>
    <t xml:space="preserve">Rule-based</t>
  </si>
  <si>
    <t xml:space="preserve">Solution Interoperability Mechanism: Coordination-based</t>
  </si>
  <si>
    <t xml:space="preserve">Coordination-based</t>
  </si>
  <si>
    <t xml:space="preserve">The idea of core data models for public administrations is closely related to the idea of once-only approaches –whereby public administrations don’t request information from citizens and businesses th</t>
  </si>
  <si>
    <t xml:space="preserve">Solution Interoperability Mechanism: Deep learning / AI</t>
  </si>
  <si>
    <t xml:space="preserve">Deep learning / AI</t>
  </si>
  <si>
    <t xml:space="preserve">Behouden voor opkomende AI-mediation.</t>
  </si>
  <si>
    <t xml:space="preserve">In this article we propose a methodology that uses semantic fusion to reduce the uncertainty existent in text by combining general usage and domain specific dictionaries.
The methodology is a quantita</t>
  </si>
  <si>
    <t xml:space="preserve">Solution Level of Shared Meaning: Shared Meaning on Core Elements</t>
  </si>
  <si>
    <t xml:space="preserve">Solution Level of Shared Meaning</t>
  </si>
  <si>
    <t xml:space="preserve">Shared Meaning on Core Elements</t>
  </si>
  <si>
    <t xml:space="preserve">Solution Level of Shared Meaning: Upper Semantic Reality</t>
  </si>
  <si>
    <t xml:space="preserve">Upper Semantic Reality</t>
  </si>
  <si>
    <t xml:space="preserve">Substantieel; upper-ontology niveau.</t>
  </si>
  <si>
    <t xml:space="preserve">Solution Level of Shared Meaning: Terminological Shared Meaning</t>
  </si>
  <si>
    <t xml:space="preserve">Terminological Shared Meaning</t>
  </si>
  <si>
    <t xml:space="preserve">Solution Level of Shared Meaning: Fully Shared Meaning</t>
  </si>
  <si>
    <t xml:space="preserve">Fully Shared Meaning</t>
  </si>
  <si>
    <t xml:space="preserve">Behouden als theoretische pool.</t>
  </si>
  <si>
    <t xml:space="preserve">Solution Level of Shared Meaning: Shared Metadata</t>
  </si>
  <si>
    <t xml:space="preserve">Shared Metadata</t>
  </si>
  <si>
    <t xml:space="preserve">The legal framework has been set by the Directive (2007/2/EC) and interdependent legal acts, which are called implementing rules, in the form of Commission regulations and decisions. By design, the in</t>
  </si>
  <si>
    <t xml:space="preserve">Solution Level of Shared Meaning: Shared identifiers</t>
  </si>
  <si>
    <t xml:space="preserve">Shared identifiers</t>
  </si>
  <si>
    <t xml:space="preserve">Behouden; spiegel van Identifier-based mechanism.</t>
  </si>
  <si>
    <t xml:space="preserve">Solution Level of Shared Meaning: Conceptuel Model</t>
  </si>
  <si>
    <t xml:space="preserve">Conceptuel Model</t>
  </si>
  <si>
    <t xml:space="preserve">Solution Level of Shared Meaning: Conceptual Model</t>
  </si>
  <si>
    <t xml:space="preserve">Spelfout (Conceptuel → Conceptual).</t>
  </si>
  <si>
    <t xml:space="preserve">The Swedish Company Data Model (Bolagsverket)29, instigated by the Swedish Companies Registration Office, has created conceptual data models (Grundläggande uppgifter om företag) of core concepts and i</t>
  </si>
  <si>
    <t xml:space="preserve">Imported annotation</t>
  </si>
  <si>
    <t xml:space="preserve">(root)</t>
  </si>
  <si>
    <t xml:space="preserve">(120 quotaties met andere codes verwijderen, 10 solo-quotaties handmatig her-coderen)</t>
  </si>
  <si>
    <t xml:space="preserve">Import-artefact uit Zotero-annotaties; van 130 quotaties hebben er 120 al een andere inhoudelijke code en kunnen veilig verwijderd worden. De 10 alleenstaande quotaties moeten handmatig een code krijgen (zie sheet Imported_Solo).</t>
  </si>
  <si>
    <t xml:space="preserve">Semantic Conflicts recognize that differences in conceptualization may lead to different types of semantic conflicts in information exchanged between network entities including [11]: (i) different rep</t>
  </si>
  <si>
    <t xml:space="preserve">Remark</t>
  </si>
  <si>
    <t xml:space="preserve">15 quotaties; meta-categorie. Beoordeel of deze in synthese als 'methodologische opmerking' apart blijft of dat de inhoud verspreid wordt over inhoudelijke codes.</t>
  </si>
  <si>
    <t xml:space="preserve">a) Scope • Global level: attempts to present generic models applicable and reusable across different countries • National/federal level: models aiming at nationwide acceptance and applicability • Sub-</t>
  </si>
  <si>
    <t xml:space="preserve">Domain</t>
  </si>
  <si>
    <t xml:space="preserve">Slechts 3 quotaties; meer een attribuut (welk domein) dan een inhoudelijke code. Overweeg om dit als document-attribute / family in ATLAS.ti te beheren in plaats van als code.</t>
  </si>
  <si>
    <t xml:space="preserve">Linked domain ontologies of the original KOKO ontology cloud. Contemporary versions of these RDFS ontologies are available transformed automatically into SKOS format at the national ontology service h</t>
  </si>
  <si>
    <t xml:space="preserve">Quotaties die ALLEEN onder "Imported annotation" gecodeerd zijn (n=10)</t>
  </si>
  <si>
    <t xml:space="preserve">Deze quotaties hebben geen inhoudelijke code en moeten handmatig opnieuw worden gecodeerd, of bewust verwijderd.</t>
  </si>
  <si>
    <t xml:space="preserve">#</t>
  </si>
  <si>
    <t xml:space="preserve">Quotation #</t>
  </si>
  <si>
    <t xml:space="preserve">Source</t>
  </si>
  <si>
    <t xml:space="preserve">Tekstfragment</t>
  </si>
  <si>
    <t xml:space="preserve">Voorgestelde code(s)</t>
  </si>
  <si>
    <t xml:space="preserve">Notitie</t>
  </si>
  <si>
    <t xml:space="preserve">1:23</t>
  </si>
  <si>
    <t xml:space="preserve">Hyvönen</t>
  </si>
  <si>
    <t xml:space="preserve">CLARIAH</t>
  </si>
  <si>
    <t xml:space="preserve">(in te vullen)</t>
  </si>
  <si>
    <t xml:space="preserve">1:25</t>
  </si>
  <si>
    <t xml:space="preserve">Sampo Model,</t>
  </si>
  <si>
    <t xml:space="preserve">2:4</t>
  </si>
  <si>
    <t xml:space="preserve">Karunarathne e.a.</t>
  </si>
  <si>
    <t xml:space="preserve">The envisioned enablers would take the form of common standards (taxonomies, controlled vocabularies, thesauri, code lists, etc.)</t>
  </si>
  <si>
    <t xml:space="preserve">29:1</t>
  </si>
  <si>
    <t xml:space="preserve">Schuurman</t>
  </si>
  <si>
    <t xml:space="preserve">29:2</t>
  </si>
  <si>
    <t xml:space="preserve">29:3</t>
  </si>
  <si>
    <t xml:space="preserve">29:4</t>
  </si>
  <si>
    <t xml:space="preserve">4:4</t>
  </si>
  <si>
    <t xml:space="preserve">Margariti e.a.</t>
  </si>
  <si>
    <t xml:space="preserve">This research develops a new model for the holistic assessment of organizational interoperability. The model is based on the Interoperability Maturity Model (IMM) (</t>
  </si>
  <si>
    <t xml:space="preserve">4:11</t>
  </si>
  <si>
    <t xml:space="preserve">Many researchers consider organizational interoperability to be a crucial factor for successfully promoting e-Government (Kubicek, Cimander, &amp; Scholl, 2011) (Margariti &amp; Stamati, 2018) (Rauffet, da CUNHA, &amp; Bernard, 2009). Technology may prove the least difficult to address, while the organizat</t>
  </si>
  <si>
    <t xml:space="preserve">4:13</t>
  </si>
  <si>
    <t xml:space="preserve">Interoperability attributes (IA) per section.</t>
  </si>
  <si>
    <t xml:space="preserve">Spelfouten en taalcorrecties (RENAME-acties)</t>
  </si>
  <si>
    <t xml:space="preserve">Snelle batch in ATLAS.ti via rename op de subcode-naam.</t>
  </si>
  <si>
    <t xml:space="preserve">Huidige naam</t>
  </si>
  <si>
    <t xml:space="preserve">Nieuwe naam</t>
  </si>
  <si>
    <t xml:space="preserve">Type fout</t>
  </si>
  <si>
    <t xml:space="preserve">Spelfout</t>
  </si>
  <si>
    <t xml:space="preserve">Verduidelijking</t>
  </si>
  <si>
    <t xml:space="preserve">Taalfout NL→EN</t>
  </si>
  <si>
    <t xml:space="preserve">Voorgestelde merges (MERGE_INTO-acties)</t>
  </si>
  <si>
    <t xml:space="preserve">Per merge: bron-code wordt verwijderd na her-codering naar doelcode.</t>
  </si>
  <si>
    <t xml:space="preserve">Bron-code</t>
  </si>
  <si>
    <t xml:space="preserve">n quotaties bron</t>
  </si>
  <si>
    <t xml:space="preserve">n quotaties doel</t>
  </si>
  <si>
    <t xml:space="preserve">Aggregaat per hoofdcategorie</t>
  </si>
  <si>
    <t xml:space="preserve">Aantal quotaties</t>
  </si>
  <si>
    <t xml:space="preserve">Gem. quotaties / code</t>
  </si>
  <si>
    <t xml:space="preserve">% van totaal quotaties</t>
  </si>
  <si>
    <t xml:space="preserve">Codes (aanbevolen na merges)</t>
  </si>
  <si>
    <t xml:space="preserve">Totaal</t>
  </si>
  <si>
    <t xml:space="preserve">Codes met opvallende verdeling</t>
  </si>
  <si>
    <t xml:space="preserve">Top 10 zwaarste codes (mogelijk te splitsen) en codes die nooit boven n=2 komen.</t>
  </si>
  <si>
    <t xml:space="preserve">Top 15 zwaarste codes</t>
  </si>
  <si>
    <t xml:space="preserve">Aanbeveling</t>
  </si>
  <si>
    <t xml:space="preserve">Codes met n ≤ 2</t>
  </si>
  <si>
    <t xml:space="preserve">Aanbevolen actie</t>
  </si>
  <si>
    <t xml:space="preserve">Doelcode (bij MERGE)</t>
  </si>
  <si>
    <t xml:space="preserve">Steekproef-quotaties per code (kwaliteitscontrole consistentie)</t>
  </si>
  <si>
    <t xml:space="preserve">Per code maximaal 3 representatieve voorbeelden ter check of de coderingen onderling consistent zijn.</t>
  </si>
  <si>
    <t xml:space="preserve">Tekst (kort)</t>
  </si>
  <si>
    <t xml:space="preserve">Pease en Niles</t>
  </si>
  <si>
    <t xml:space="preserve">Another debate on the SUO mailing list has concerned the notions of organisation and position. Several criteria for any adequate formalisation of organisation have been proposed by various participants, and these criteria can be summarised as follows: 
1. An organisation must hav...</t>
  </si>
  <si>
    <t xml:space="preserve">Greenberg e.a.</t>
  </si>
  <si>
    <t xml:space="preserve">Data-level conflicts are differences in data domains caused by the multiple representations and interpretations of similar data (Park and Ram, 2004). A good example could be fields related with the concept “name”. The content could seem obvious and it usually defined as “State th...</t>
  </si>
  <si>
    <t xml:space="preserve">Banouar en Raghay</t>
  </si>
  <si>
    <t xml:space="preserve">Semantic conflicts analysis occurs on two levels: Data and schemas. At the data level, conflicts are caused by the various representations of the same data. We distinguish the value conflicts, representation conflicts, precision conflicts and data units' conflicts. While at the s...</t>
  </si>
  <si>
    <t xml:space="preserve">Balkányi e.a.</t>
  </si>
  <si>
    <t xml:space="preserve">Analyzing the situation at ECDC [3] it became clear, that implementing simply a rigorous data modeling rule set plus introducing obligatory terminology is not an option because of several reasons: (1) Highly trained professional users (at different, although closely related domai...</t>
  </si>
  <si>
    <t xml:space="preserve">The most difficult aspect of data integration is not based on network protocols or database schematics (Bishr 1997; Harvey 1999a). Rather, it is the difficulty of creating equivalence between attributes or characteristics of spatial data (Vckovski, Brassel, and Schek 1999).</t>
  </si>
  <si>
    <t xml:space="preserve">Sánchez e.a.</t>
  </si>
  <si>
    <t xml:space="preserve">SWA applies the concept of “household” – a group of people sharing a residence, and RO applies the concept of “family” – people related by family bonds. The two agencies share information about citizens but they use different terms for it: RO uses “person” and SWA uses “member”.
...</t>
  </si>
  <si>
    <t xml:space="preserve">Haav e.a.</t>
  </si>
  <si>
    <t xml:space="preserve">The creation process of new e-services may be not an efficient one because the discovery, integration and reuse of appropriate information resources is time-consuming as the meaning of these information resources is not well-enough documented.</t>
  </si>
  <si>
    <t xml:space="preserve">Buyle e.a.</t>
  </si>
  <si>
    <t xml:space="preserve">Adaptation: albeit the ‘Once Only’ and ‘whole-ofgovernment'30 principles, there remain problems to overcome the lack of integration in e-government projects. According the United Nations -Government Survey, information ‘silos’ are created by departmentalism and lack of coordinati...</t>
  </si>
  <si>
    <t xml:space="preserve">Guzmán en Karunaratne</t>
  </si>
  <si>
    <t xml:space="preserve">The key to addressing this challenge is a common ontology capable of representing information to be exchanged through a “canonical form” of common types of evidence that are relevant to use cases of public services, hereinafter referred to as canonical evidence types. These canon...</t>
  </si>
  <si>
    <t xml:space="preserve">, interoperability problems emerge as these organizations may differ and have its own IT platform and software applications to support their business processes.</t>
  </si>
  <si>
    <t xml:space="preserve">Other researchers have been at pains to build semantic bases for operations and geographic phenomena based on the argument that the traditional representation of digital data as (x, y), plus a semantic code, has limited the amount of contextual knowledge available for making gene...</t>
  </si>
  <si>
    <t xml:space="preserve">The discussion relating to semiotics has been less controversial than the other areas discussed in this paper, but it is worth summarising here, because it has resulted in a well-defined set of concepts that are not available in any other ontology as far as the authors of this pa...</t>
  </si>
  <si>
    <t xml:space="preserve">Maratsi e.a.</t>
  </si>
  <si>
    <t xml:space="preserve">Inability to express knowledge in a formal but also straightforward manner.</t>
  </si>
  <si>
    <t xml:space="preserve">The guide highlighted some important heuristics and biasesidentified by researchers on elicitation: (1) anchoring and adjustment, as expertstend to adjust the answerto the previous one they gave fortwo related, consecutive questions; (2) availability, as expertstend to prioritize...</t>
  </si>
  <si>
    <t xml:space="preserve">A key problem to be solved in FinnONTO was that large cross-domain thesauri, especially the General Finnish Thesaurus YSA, could not anymore be maintained easily by its management team. Even if the team included people from different fields, the terminology related to specific ar...</t>
  </si>
  <si>
    <t xml:space="preserve">Detoni e.a.</t>
  </si>
  <si>
    <t xml:space="preserve">Some authors have clearly pointed out that work in ontology modularization is incipient and that modularization is not as well understood in the context of ontologies as it is in software engineering [27].</t>
  </si>
  <si>
    <t xml:space="preserve">Clearly, the higher the resolution of the study, the greater the number of categories that emerge. Both scientific and social pressures bear on the choice of scale associated with research.</t>
  </si>
  <si>
    <t xml:space="preserve">Luca e.a.</t>
  </si>
  <si>
    <t xml:space="preserve">Semantic layer interoperability is relevant in 91% of the cases selected, being one of the pillars of AI-based cases that support interoperability. Moreover, the usage of ontologies and taxonomies to create a common language and shared understanding of data, combined with AI tech...</t>
  </si>
  <si>
    <t xml:space="preserve">Altahir e.a.</t>
  </si>
  <si>
    <t xml:space="preserve">Some of these challenges were discussed by Alshehab et al.[48] in their study, which summarized these challenges as the lack of awareness and understanding of semantic web technologies among egovernment stakeholders, data quality issues, privacy and security concerns, technical l...</t>
  </si>
  <si>
    <t xml:space="preserve">The idea here is to encourage publishers to publish high quality data as data quality of LD is a severe issue on the SW.</t>
  </si>
  <si>
    <t xml:space="preserve">Hofman e.a.</t>
  </si>
  <si>
    <t xml:space="preserve">Open standards and their implementations can still lead to closed data spaces which create difficulties for sharing the information across data spaces when it comes to semantics.
Data space approaches like IDSA and Gaia-X all refer to semantics but still support
346 W. Hofman et ...</t>
  </si>
  <si>
    <t xml:space="preserve">Rojas e.a.</t>
  </si>
  <si>
    <t xml:space="preserve">Multiple domain data models were proposed (some still under active development), to bridge the interoperability challenges by uniformly describing the different technical aspects related to the railway domain. However, most lack semantic definitions that promote/guarantee the u...</t>
  </si>
  <si>
    <t xml:space="preserve">Nachabe e.a.</t>
  </si>
  <si>
    <t xml:space="preserve">s the integration of heterogeneous data sources in terms of syntax, format, standard, provenance, quality, etc</t>
  </si>
  <si>
    <t xml:space="preserve">Some software components also implement functionality of more than one protocol layer, slightly different from each other. For instance, an IDSA connector supports integration with a data broker acting as Service Registry but in a data agnostic way. These differences signal inter...</t>
  </si>
  <si>
    <t xml:space="preserve">So far, the agency relied on traditional application-centric approaches to support the data exchange among multiple actors interacting within the railway domain. This lead however, to isolated digital environments that consequently added barriers to digital interoperability while...</t>
  </si>
  <si>
    <t xml:space="preserve">Legacy Systems: Historical use of outdated technologies that are incompatible with current interoperability standards.</t>
  </si>
  <si>
    <t xml:space="preserve">[IS] identified also many barriers standing in the way of achieving truly beneficial semantic interoperability in healthcare information systems and resume them in this four 
points: 1) - too large number of players with competing goals.
2) - insufficient coordination and sharing...</t>
  </si>
  <si>
    <t xml:space="preserve">Lack of commonly agreed processes, difficulties in interpreting administrative procedures and legislation, and difficulties in defining authorities and responsibilities are some of the reasons which justify why cross-border and national interoperability have not yet been achieved...</t>
  </si>
  <si>
    <t xml:space="preserve">What is noteworthy, from a social and policy perspective, is that it is likely that a national classification system for subsurface lithologies will be developed and implemented outside of a national spatial data infrastructure. The repercussions of an organic classification that...</t>
  </si>
  <si>
    <t xml:space="preserve">challenges stem from the limited availability of qualified domain experts for the elicitation process. Experts with knowledge of cross-border challenges are both scarce and rarely accessible, as are those with a comprehensive understanding of the domain at either the national or ...</t>
  </si>
  <si>
    <t xml:space="preserve">Governments have invested significant efforts over decades in designing tools and processes developed in line with standards for data exchange to increase interoperability between different public organisations. However, this process is still hindered by many challenges and bloc...</t>
  </si>
  <si>
    <t xml:space="preserve">van Compernolle e.a.</t>
  </si>
  <si>
    <t xml:space="preserve">Public administrations are often still organised in vertical, closed silos. The lack of common data standards (common data models and reference data) for exchanging information between administrations in a cross-domain and/or cross-border setting stands in the way of digital publ...</t>
  </si>
  <si>
    <t xml:space="preserve">Peristeras e.a.</t>
  </si>
  <si>
    <t xml:space="preserve">The EIF layers have been discussed in the introduction section.
Most initiatives fall into the technical or semantic interoperability EIF layer, with organizational interoperability addressed in relatively small number of initiatives.</t>
  </si>
  <si>
    <t xml:space="preserve">These 24 web service descriptions consist of ca 4000 data fields, used as inputs and outputs for web service operations. Around 3000 of them contain also humanreadable documentation. For the 4000 data fields there are ca 1400 different XML Schema element names – which gives us th...</t>
  </si>
  <si>
    <t xml:space="preserve">Another challenge is the complexity of integrating different systems and services, which requires significant investments in time, resources and expertise. However, traditional approaches to interoperability, which rely solely on technical standards and specifications, still need...</t>
  </si>
  <si>
    <t xml:space="preserve">Kilicay‐Ergin en Barb</t>
  </si>
  <si>
    <t xml:space="preserve">Even if such domain-specific dictionaries are produced, resulting system have limited success due to the fact that they lack scalability.
Scalability is an important characteristic for systems that are comprised of multi domains such as smart city.</t>
  </si>
  <si>
    <t xml:space="preserve">Surianarayanan</t>
  </si>
  <si>
    <t xml:space="preserve">Due to many factors in cross-institutional health care settings, the semantic alignment problem has been particularly difficult: 
• Partial overlap between schemas • Contextualized definitions of terms • One-to-many, many-to-one relationships • Evolving schemas and policies • Con...</t>
  </si>
  <si>
    <t xml:space="preserve">Building an ontology for DS remains a very complex and time-consuming task. In addition to the aforementioned challenges, ontology is highly sensitive to frequent updates, continuously extending the scope of the UC and requiring a rigorous methodology to ensure ontology’s continu...</t>
  </si>
  <si>
    <t xml:space="preserve">This view fails to take into account the changes wrought by digital data, which are fluid, unstable, and mobile – indeed, they share many of the qualities of global capital.</t>
  </si>
  <si>
    <t xml:space="preserve">These innovative techniques facilitate the users in effortlessly searching for and accessing pertinent information. Nevertheless, certain challenges must be overcome to successfully implement these technologies. These challenges encompass concerns about security, costs, and stand...</t>
  </si>
  <si>
    <t xml:space="preserve">Cetl e.a.</t>
  </si>
  <si>
    <t xml:space="preserve">By far the largest effort in implementing data-related projects is data collection and processing because of its time consuming, tedious and expensive character (Longley 2005). Within this context, data interoperability streamlines the use of geospatial information. As already ou...</t>
  </si>
  <si>
    <t xml:space="preserve">Provincial governments, which control water resources in Canada, are uniformly under financial pressure and are frequently reluctant to commit resources to what might be viewed as an esoteric task.</t>
  </si>
  <si>
    <t xml:space="preserve">Vernadat</t>
  </si>
  <si>
    <t xml:space="preserve">Common organizational problems to be solved in enterprise networking at this level include, but are not limited to: different human and organizational behaviors, different organizational structures, different business process organizations and management approaches, different sen...</t>
  </si>
  <si>
    <t xml:space="preserve">Back in the 1990s, there were several barriers for accessing and using the spatial data and information necessary for environmental management and policy making in Europe. These included different data policies, encodings, formats and semantics, to name a few. Data was collected ...</t>
  </si>
  <si>
    <t xml:space="preserve">The concept of an ontology-based framework provides a promising solution to address the challenges posed by inconsistent regulatory standards in e-government.</t>
  </si>
  <si>
    <t xml:space="preserve">Decision makers and policy analysts at different administrative levels often lack a holistic view of the problem as there are semantic variations in policy documents due to domain-specific content. For example, smart city initiatives are derived from national and international in...</t>
  </si>
  <si>
    <t xml:space="preserve">This ontology building, however, is not being undertaken by Geoconnections, the Canadian federal body responsible for spatial data infrastructure. Instead, isolated pods of academics and government scientists are working with the existing data and private drillers in an attempt t...</t>
  </si>
  <si>
    <t xml:space="preserve">At first, data consumers did not easily understand the concept of EU-wide/canonical evidence types, as they considered all types of information required to complete an application, such as contact details, affidavits, locally available data to pre-fill applications, evidence from...</t>
  </si>
  <si>
    <t xml:space="preserve">However, creating and using linked data has its own challenges, too. More collaboration and agreements on data models and ontologies are needed for interoperability between the data producers, which complicates the publication process. Integration of SW technologies with legacy ...</t>
  </si>
  <si>
    <t xml:space="preserve">Looking back twenty years to the 1990s, the accessibility and online sharing of public sector data were minimal. Finding content was very difficult. Documentation was poor or missing and data were kept in incompatible formats. It was difficult and time consuming to combine datase...</t>
  </si>
  <si>
    <t xml:space="preserve">As a result, the issues of alignment between various data representations can be very difficult to identify using static rules; specifically where there are slight semantic differences versus significant syntactical differences</t>
  </si>
  <si>
    <t xml:space="preserve">When re-using public sector information, until now Postbuzz had to look-up the coordinates of the provided addresses. In the past, the city of Ghent in Belgium annotated their news with the local address identifier of the Flemish government.
Because of a lack of context, the deve...</t>
  </si>
  <si>
    <t xml:space="preserve">Similarly, the poor or non-standardized metadata hinders the interoperability of cultural objects, while the lack of accessibility to shared information and formal knowledge representation are strongly present in the cultural heritage sector [19].</t>
  </si>
  <si>
    <t xml:space="preserve">Open standards of lower layer protocols can still lead to non-interoperable data spaces which create difficulties for sharing the information across data spaces. For example, the IDSA – and Eclipse Data space Components (EDC) aims to be both implementations of the same protocol b...</t>
  </si>
  <si>
    <t xml:space="preserve">cross-border interoperability, (iii) complexity, (iv) system integration issues (v) compliance with laws and regulations, (vi) budget constraints, and (vii) quality of data.
● There is a significant distance to cover</t>
  </si>
  <si>
    <t xml:space="preserve">As most of ECDC systems are ‘one of their kind’ and they were developed under a time pressure to become functional as soon as possible, it was inevitable that on layers of logical design, data modeling, content phrasing, user interfacing, etc., the systems started to diverge.</t>
  </si>
  <si>
    <t xml:space="preserve">Lack of semantic agreement at the administrative level of public service providers – For e.g., the object Address has an attribute, AdminUnitL2, which in some countries can map to the municipality, or some other countries it’s a region.</t>
  </si>
  <si>
    <t xml:space="preserve">Linguistic issues: The world is multi-cultural and different populations do not necessarily speak the same language. For instance, in the European Union there are currently 27 member states which use 23 different languages. While the business world tends to use international Engl...</t>
  </si>
  <si>
    <t xml:space="preserve">Misunderstandings also occurred because business experts had to translate national legal and cultural concepts into English, so they used same words for concepts with different meanings and vice versa.</t>
  </si>
  <si>
    <t xml:space="preserve">Ryhänen e.a.</t>
  </si>
  <si>
    <t xml:space="preserve">During the analysis of data models, we observed a total lack of papers describing data models in sub-domain level. This may be caused by the lack of motivation for single organizations to report their internal models and standards in academic resources, even if the organization i...</t>
  </si>
  <si>
    <t xml:space="preserve">AI adoption for enhancing interoperability in the public sector is very challenging.
Exploring this topic requires a full understanding of the complex relationships between government, society and technology, and consideration of the expected benefits and the most relevant challe...</t>
  </si>
  <si>
    <t xml:space="preserve">Yet, there are no implementations of interoperable wallets or the use of multiple wallets by a data holder with standardized interfaces to data issuers and – verifiers.</t>
  </si>
  <si>
    <t xml:space="preserve">Many works in the literature, in particular in the context of Ontology Engineering methods such as [4] and [24], have pointed out the importance of modularizing ontologies.
However, prescriptive guidelines for modularization are still lacking, and ontology modularization is a ver...</t>
  </si>
  <si>
    <t xml:space="preserve">for eGovernment Web Services. WebDG's main contributions revolve around two features [69]: 
• Composing e-government services. A framework for automatically composing e-government services is proposed based on a set of rules that check composability of services.
• Preserving priv...</t>
  </si>
  <si>
    <t xml:space="preserve">Some of the barriers to semantic web applications and ontology in e-government services are a lack of awareness and understanding of semantic web technologies among e-government stakeholders, data quality issues, privacy and security concerns, technical limitations, and collabora...</t>
  </si>
  <si>
    <t xml:space="preserve">Privacy and security concerns are also crucial challenges to interoperability implementation in the public sector.</t>
  </si>
  <si>
    <t xml:space="preserve">Non-standard Graph Database: Another alternative is to replace the standard RDF triple store by a graph database that has support for route plan querying (e.g. Stardog35 or Neo4J36 both with RDF support). Again the drawbacks of this approach are related to scalability and applica...</t>
  </si>
  <si>
    <t xml:space="preserve">Performance of Long-Distance Queries. One of the main limitations of our proposed solution is related to the trade-off between server computational cost and query performance, that is introduced when shifting query processing tasks to the client.</t>
  </si>
  <si>
    <t xml:space="preserve">Wang e.a.</t>
  </si>
  <si>
    <t xml:space="preserve">How to effectively manage massive government archives is a problem that archivists face continuously.</t>
  </si>
  <si>
    <t xml:space="preserve">Legal validity of the data models is not fully verified – For e.g., birth of a person should be proved by a certificate issued by a legal verified competent authority in an electronic format with legal value under a national or European law.</t>
  </si>
  <si>
    <t xml:space="preserve">Due to a lack of a common understanding and also due to potential legal issues in the various countries, tackling this series of mapping and disambiguation issues poses a non-trivial challenge to both competent authorities and users.</t>
  </si>
  <si>
    <t xml:space="preserve">The policy context is rapidly evolving, concerning both interoperability and AI. With respect to interoperability, in November 2022, the European Commission published the Interoperable Europe Act, presently under negotiation.</t>
  </si>
  <si>
    <t xml:space="preserve">Muthaiyah en Kerschberg</t>
  </si>
  <si>
    <t xml:space="preserve">With a multitude of e-service requests between government agencies, a human being, processing these service requests has to understand the implicit semantics and choreograph them to establish syntactical interoperability, which evidently causes delay, unavoidable human errors and...</t>
  </si>
  <si>
    <t xml:space="preserve">Currently only syntactic matching and data parsing is carried out for public agencies to share and exchange data. Without semantics in place, a human domain expert has to mix and match services between agencies manually [13], [16].</t>
  </si>
  <si>
    <t xml:space="preserve">The processes that drive these products are often digitalized in separate systems. Due to this, shadow databases arise which lead to lots of redundant and repeated data. The quality of this information, ultimately delivered through e-government or other public services to citizen...</t>
  </si>
  <si>
    <t xml:space="preserve">Shi e.a.</t>
  </si>
  <si>
    <t xml:space="preserve">Building information such as address, status, municipal code, etc., is maintained manually in Propman though the information also exists in Matrikkel.
Matrikkel is maintained frequently by municipal offices and other information providers. It often occurs that those types of data...</t>
  </si>
  <si>
    <t xml:space="preserve">stakeholder organisations such as IMs, have to report the same information multiple times for different registries, increasing the probability of data inconsistency issues, while adding more costs to IMs due to duplicated efforts</t>
  </si>
  <si>
    <t xml:space="preserve">Authorities need to access many different data spaces and platforms to have access to the data, so it will not connect to each and every one of them in a different way, a standardized way is needed.</t>
  </si>
  <si>
    <t xml:space="preserve">For circular economy monitoring, government authorities need to get access to data across platforms (data spaces) and the issue is how to access this data.</t>
  </si>
  <si>
    <t xml:space="preserve">this common understanding is not provided by Union laws in all the domains involved in the provision of public services; moreover, some public services use to change their criteria frequently to be aligned with new government policies, such as the grants for studying.</t>
  </si>
  <si>
    <t xml:space="preserve">Any solution must consider the evolving nature of laws and regulations that affect how software applications interpret exchanged data.</t>
  </si>
  <si>
    <t xml:space="preserve">Another challenging aspect of semantic interoperability which is frequently encountered in knowledge domains with strong terminology compounds, such as the environment sector, derives from the multidisciplinarity of information, the large variation in technical language, and the ...</t>
  </si>
  <si>
    <t xml:space="preserve">Younsi Dahbi e.a.</t>
  </si>
  <si>
    <t xml:space="preserve">However, realizing these benefits is not always straightforward, as the usage of this raw data often faces challenges related to its format, structure, and heterogeneity which hinder its processability and integration. In response to</t>
  </si>
  <si>
    <t xml:space="preserve">Information integration is facing many conflicts. The heterogeneity of information systems can be syntactic as an 
outcome of the multitude data storage formats, interrogation languages and access protocols.</t>
  </si>
  <si>
    <t xml:space="preserve">Some challenges stem from assumptions that must be avoided . Since assumptions may be incorrect, they need to be explicitly verified.</t>
  </si>
  <si>
    <t xml:space="preserve">Data heterogeneity is caused by the separate data definitions or naming conventions maintained by both the DMV agencies depicted above i.e. DMV Licence Renewal and DMV Records for their customer records.</t>
  </si>
  <si>
    <t xml:space="preserve">The challenge that, for circular economy monitoring, it is likely that the information will be dispersed in multiple platforms of different supply chains is also pointed out [16].</t>
  </si>
  <si>
    <t xml:space="preserve">the varying medical consent policies, and different legislations on national level [11, 6, 7, 8, 10],</t>
  </si>
  <si>
    <t xml:space="preserve">If it is a case of multilingualism, denominators are different for almost every concept when expressed in different languages. Different fonts used (Latin, Greek, Cyrillic, etc.) and often different syntactical representations, for example, different separators in list.
Both are ...</t>
  </si>
  <si>
    <t xml:space="preserve">The envisioned enablers would take the form of common standards (taxonomies, controlled vocabularies, thesauri, code lists, etc.) imposed via multilateral agreements, which in itself proved to be a substantial bottleneck in practice.</t>
  </si>
  <si>
    <t xml:space="preserve">The Directive does not require a collection of new data, instead existing data should be transformed to fit agreed data models. The SDI is also developed and implemented in a decentralised and distributed manner, mainly following fundamental principles (European Commission 2007a,...</t>
  </si>
  <si>
    <t xml:space="preserve">The domain ontology requires an objective and clear description of terms or concepts in the domain; (2) completeness, the description of terms or concepts must be complete and fully express their meaning; (3) consistency, the conclusion drawn from the terminology must be consiste...</t>
  </si>
  <si>
    <t xml:space="preserve">an increasing number of governments worldwide recognize the role of establishing metadata standards as an integral ingredient of their interoperability framework.</t>
  </si>
  <si>
    <t xml:space="preserve">Gugliotta e.a.</t>
  </si>
  <si>
    <t xml:space="preserve">Contextualization. Our approach allows us to contextualize – i.e. describing various notions of context, non physical situations, topics, plans, beliefs, etc. as entities – an egovernment scenario in terms of descriptions. In particular, we distinguish between descriptive entitie...</t>
  </si>
  <si>
    <t xml:space="preserve">The resolution of a query in an interoperable 
environment requires the integration of distributed data across multiple heterogeneous systems.</t>
  </si>
  <si>
    <t xml:space="preserve">Legal interoperability must be used wherever possible to give formal structure to the political approaches which affect the application of interoperability in the Semantic interoperability problems 
603 
Downloaded from http://www.emerald.com/lht/article-pdf/31/4/602/1771287/lht-...</t>
  </si>
  <si>
    <t xml:space="preserve">Ojo e.a.</t>
  </si>
  <si>
    <t xml:space="preserve">Roles and Responsibilities – Identify important roles in major collaboration and data sharing initiatives and indicate specific responsibilities for them. For instance, different roles are required for clearing processes (clearinghouse) and audit processes in compliance review. H...</t>
  </si>
  <si>
    <t xml:space="preserve">The ISA program also provided guidelines for consensus building on semantic agreements among stakeholders and a methodology for developing semantic agreements [15], which is based on the “Process and methodology for developing Core Vocabularies”.</t>
  </si>
  <si>
    <t xml:space="preserve">For computer-based agents to have the same degree of autonomy, flexibility and complexity as human agents, they will need languages for communication that are comparable in scope and expressivity to those used by human beings</t>
  </si>
  <si>
    <t xml:space="preserve">Communities of Interest (COI) – There is a need to define a process for creating communities of interest consisting of organizations with shared collaboration goals. COIs will describe their collaborations and create semantic assets to underpin exchanges involved in collaboration...</t>
  </si>
  <si>
    <t xml:space="preserve">Dri Kurniawan e.a.</t>
  </si>
  <si>
    <t xml:space="preserve">It necessitates the establishment of an ecosystem to ensure growth and sustainability. An ecosystem is a network of actors, both organizations and individuals that are interconnected for the common good [4].</t>
  </si>
  <si>
    <t xml:space="preserve">Three stars requires the data to be in line with the OSLO vocabulary;</t>
  </si>
  <si>
    <t xml:space="preserve">Discovery: SIM shall allow inferring which resources are related to a need. Given the descriptions of a need, the description of a set of resources, and particular criteria relating them, a discovery service shall infer a set of resources related to the need. The service shall re...</t>
  </si>
  <si>
    <t xml:space="preserve">The fact that the information generated by a computer must be processed by another system which must interpret its meaning correctly, leads to a series of additional complications which affect both the source of the information and its recipient, and constitutes the central theme...</t>
  </si>
  <si>
    <t xml:space="preserve">An essential requirement for information exchange is a single language to describe the meaning and structure of the subjacent data, for example a mark-up language. In the current technological and market environment, this language is XML. However, XML alone cannot guarantee or pr...</t>
  </si>
  <si>
    <t xml:space="preserve">semantic interoperability requires that the precise meaning of exchanged information is understandable by the recipient application, even when the application was not initially developed for this purpose [6].</t>
  </si>
  <si>
    <t xml:space="preserve">Adaptation: Adapt to changes in the structure of the schema without requiring significant manual efforts to do so.</t>
  </si>
  <si>
    <t xml:space="preserve">Semantic Gateway: To enable semantic translation (mediation) of information between collaborating parties, there is a need to provide semantic gateway services. Relying on semantic assets provided through the Clearinghouse to resolve semantic differences, the Gateway must be able...</t>
  </si>
  <si>
    <t xml:space="preserve">Technical – technological capabilities that communities and network members should possess, for instance the availability of semantic descriptions of relevant enterprise assets, and availability of semantic gateways to resolve semantic differences in communication between COIs, a...</t>
  </si>
  <si>
    <t xml:space="preserve">Local Metadata Registry – Providing a Local Metadata Registry for publishing and managing the lifecycle of semantic assets by collaborating entities, able to push the updates to the Clearinghouse.</t>
  </si>
  <si>
    <t xml:space="preserve">Legal Frameworks – Major legal issues constraining semantic interoperability – accessibility, authentication, authorization, security, transparency, accountability and privacy, should be clearly specified to guide SIOP solutions. This implies that related roles must be conversant...</t>
  </si>
  <si>
    <t xml:space="preserve">In order to overcome these challenges, strong coordination was needed between stakeholders at European and national levels. The most appealing solution for all was a pan-European Spatial Data Infrastructure (SDI), leveraging on existing national and regional data infrastructures....</t>
  </si>
  <si>
    <t xml:space="preserve">As noted by Stadlhofer et al. [26], it is essential to include the subordination to legal certainty when the knowledge domain comes from Public Administrations. Therefore, the legal compliance requirements include, at least, compliance with European and national data protection r...</t>
  </si>
  <si>
    <t xml:space="preserve">In order to deliver social security services, the European institutions and Member States will have to agree on a multitude of semantic specifications, such as descriptions of people, products, processes, forms, etc. They will also have to agree on how to formulate these descript...</t>
  </si>
  <si>
    <t xml:space="preserve">Public administration should create the best environmental conditions for an effective collaboration between public agencies: this is based on a common understanding of the problems in order to facilitate data exchange and the integration of different systems and services.</t>
  </si>
  <si>
    <t xml:space="preserve">implementing an AI4IOP solution is a complex project that often requires cross-organisational collaboration.</t>
  </si>
  <si>
    <t xml:space="preserve">Kotis et al. [25] emphasized that ontologies should be collaboratively and iteratively developed, evolved, evaluated, and discussed within the relevant communities of practice, thereby shaping domain-specific information spaces. They argued that both domain experts and engineers ...</t>
  </si>
  <si>
    <t xml:space="preserve">For developing, maintaining, and using the infrastructure in a sustainable way a Human Infrastructure is needed (on the left in Fig. 1), too. This involves, e.g., educating people about the technology, introducing SW courses in university curricula, and production of documentatio...</t>
  </si>
  <si>
    <t xml:space="preserve">ed procedures and methodologies for developing generic data models or other interoperability assets, influencing interoperability by ensuring the correct understanding and utilization of data models through specific instructions [8].</t>
  </si>
  <si>
    <t xml:space="preserve">Lower layer protocols – The lower layer protocols and their interoperable implementations must be selected to enable actual data sharing at business level. These include the presentation - (syntactic), node security - (this will be discussed hereafter), connectivity, and system s...</t>
  </si>
  <si>
    <t xml:space="preserve">Interorganizational trust can be supported by Verifiable Credentials (VCs) implementing peer-to-peer trust issued to individual organizations according to certification and agreed internal trust framework.</t>
  </si>
  <si>
    <t xml:space="preserve">Guiding Principles – Clear principles and strategic drivers underpinning semantic interoperability within government and between government and its stakeholders is critical for developing semantic interoperability capabilities. For instance, supporting seamless service delivery, ...</t>
  </si>
  <si>
    <t xml:space="preserve">The idea of core data models for public administrations is closely related to the idea of once-only approaches –whereby public administrations don’t request information from citizens and businesses that already have been provided in another context, increasing government effectiv...</t>
  </si>
  <si>
    <t xml:space="preserve">The overall goal is to provide consistency, standardization and improved efficiency in information exchange and to enable public administrations to execute policies which cut across several functional areas and different domains from the information management point-of-view (e.g....</t>
  </si>
  <si>
    <t xml:space="preserve">To achieve seamless interoperability, organizations must implement business activity interaction patterns with a technology of choice. An implementation with semantic technology is expected to provide more flexibility and extendibility than a (traditional) API or messaging-based ...</t>
  </si>
  <si>
    <t xml:space="preserve">Machine readable semantic models are preferred compared to only human understandable semantic models because machine readability provides the possibility of utilizing automated reasoning and thereby the possibility of automation of the integration rules extraction.</t>
  </si>
  <si>
    <t xml:space="preserve">Semantic interoperability between evidence items needs to be established based on agreed formats and standards (e.g., W3C-recommended standards)</t>
  </si>
  <si>
    <t xml:space="preserve">Aspects of organizational interoperability is understood to mean those elements that make it possible to know and understand policies concerning access to data and/or services and their use, personal and institutional responsibilities, and the objectives and aims pursued by the o...</t>
  </si>
  <si>
    <t xml:space="preserve">In order to deliver cross-border services, the European institutions and member states will have to agree on a multitude of semantic specifications, such as descriptions of people, products, processes, forms, etc. They will also have to agree on how to formulate these description...</t>
  </si>
  <si>
    <t xml:space="preserve">each Member State shall adopt measures for the sharing of and enabling access to spatial data sets and services between its public authorities for the purposes of public tasks impacting the environment. It requires that such measures “preclude any restrictions likely to create pr...</t>
  </si>
  <si>
    <t xml:space="preserve">A service evaluation process and the availability of specific service metrics and indexes provide a high level of organizational interoperability.
Outcome indicators (cost per service, number of users, response Time etc.), efficiency indicators, contribution to the digital transf...</t>
  </si>
  <si>
    <t xml:space="preserve">To achieve the principle of quality, there must be a classification of the e-government ontologies.</t>
  </si>
  <si>
    <t xml:space="preserve">To distinguish provenance of concepts, the following annotations are used: 
• dcterms:description 11 to provide the term’s definition as it appears in source.
• rdfs:seeAlso to link the concept to its standard definition.
• rdfs:isDefinedBy or dcterms:source to link the term to ...</t>
  </si>
  <si>
    <t xml:space="preserve">o Each service is associated to the law it is based upon. It was perceived very important to document the laws and regulations not only for the whole process but also for specific activities.</t>
  </si>
  <si>
    <t xml:space="preserve">Four stars adds requirements on the provenance of the data;</t>
  </si>
  <si>
    <t xml:space="preserve">for circularity, data sharing across data spaces and platforms will be required [7] and governments would need to see whether and how to interface with these multiple platforms or data spaces if they want to use additional business data for their risk management processes.</t>
  </si>
  <si>
    <t xml:space="preserve">SEHKE differs from the majority of semantic asset creation or managed tools in the following aspects: • True online collaboration in creation and management of assets; • Iterative process for achieving consensus between multiple parties in creating mappings and relations between ...</t>
  </si>
  <si>
    <t xml:space="preserve">However, to develop the networked ontologies, we need guidelines to answer the following key questions: (i) Which are the core and domain ontologies that compose the network? (ii) How should these networked ontologies be organized (i.e., according to which ontology modularization...</t>
  </si>
  <si>
    <t xml:space="preserve">Consequently, the researchers have to build from scratch PA ontologies to be used as test-beds for demonstrating the functionalities of their systems</t>
  </si>
  <si>
    <t xml:space="preserve">Clearinghouse – Developing a central metadata registry to manage the lifecycle of semantic assets on the Central Semantic Asset Repository, providing search and retrieval capabilities for semantic assets in the central repository as well as local repositories managed by individua...</t>
  </si>
  <si>
    <t xml:space="preserve">Meta(data) Models for metadata [94] are needed for representing knowledge of different application domains, populated by resources taken from shared Domain Ontologies and Ontology Services for interoperability</t>
  </si>
  <si>
    <t xml:space="preserve">Need for enrichment of poor metadata.</t>
  </si>
  <si>
    <t xml:space="preserve">This motivates the need for an agile methodology that aligns with data space principles, integrates existing domain standards, consolidates the use of metadata for ontology’s FAIRness, and engages various involved actors (domain experts, data service providers, ontology engineers...</t>
  </si>
  <si>
    <t xml:space="preserve">Flexibility requirements should focus, at least, on a common understanding and actionability for all communities of practice involved, as well as on supporting changes over time, multilingualism, and multi-system codifications.</t>
  </si>
  <si>
    <t xml:space="preserve">Data exchange. Systems often have various forms of international representation of data. The use of the most commonly used standards is a very important facilitator for interoperability.</t>
  </si>
  <si>
    <t xml:space="preserve">Such adequate description is necessary for proceeding to the next level: • Inter-domain ontologies, multilingualism.</t>
  </si>
  <si>
    <t xml:space="preserve">The Finto.fi service has grown into a popular national open service. In 2019 it was used by 280 000 different users and its APIs were called 32 million times. The users include, e.g., museums, whose cataloging system get their keywords with URI identifiers from Finto.</t>
  </si>
  <si>
    <t xml:space="preserve">Within European data spaces, high priority is given to adherence to FAIR data principles. Thus, data and services should be findable, accessible, interoperable, and reusable</t>
  </si>
  <si>
    <t xml:space="preserve">Integration of services. What are known as service-oriented architectures (SOA) are used for the integration of services and business processes. This is software architecture concept which defines the use of services to provide support for business processes at institution level.</t>
  </si>
  <si>
    <t xml:space="preserve">It includes key aspects such as open interfaces, interconnection services, the integration of data and middleware, the presentation and exchange of data, localization and recovery of resources, accessibility, security and the integration of applications and services.</t>
  </si>
  <si>
    <t xml:space="preserve">Integration of applications. Allows successful interoperability and organization of the information flow between heterogeneous applications from different institutions or countries.</t>
  </si>
  <si>
    <t xml:space="preserve">The three most common actions that AIbased systems perform to boost data interoperability are: Detect (42%), Structure (22%) and Classify (16%). Moreover, these actions, taking advantage of the capability of AI technology to automatically process large volumes of data, help to in...</t>
  </si>
  <si>
    <t xml:space="preserve">AI can improve data quality and accuracy: AI can enhance the quality and accuracy of data by automating data cleansing, matching and validation processes. This can help ensure that the data are reliable and can be effectively used for decision-making purposes.</t>
  </si>
  <si>
    <t xml:space="preserve">Other use cases such as signaling and interlocking, require precise and accurate data to guarantee safe vehicle operations.</t>
  </si>
  <si>
    <t xml:space="preserve">In the UK, the strategy started from the data itself. Opening up the UK government data (data.gov.uk) emphasized why and how Linked Data was introduced and how a web of linked government data was created as part of the Linked Open Data cloud rather than focusing on making differe...</t>
  </si>
  <si>
    <t xml:space="preserve">Public administration should raise internal awareness regarding the possibilities of AI to improve interoperability, experimenting and discovering the benefits and potential to be exploited.</t>
  </si>
  <si>
    <t xml:space="preserve">aim of organizational interoperability is to address the requirements of the user community by making services available, easily identifiable, accessible and user centric.</t>
  </si>
  <si>
    <t xml:space="preserve">Scalability: Allow operation over a large number of schemata and institutions.</t>
  </si>
  <si>
    <t xml:space="preserve">Trust management: Enterprise Networking is by nature based on the fact that two or more business entities work together, either temporarily (virtual organization) or for a long term (networked organization).</t>
  </si>
  <si>
    <t xml:space="preserve">Confidentiality issues: This point is to some extent related to the previous one. For each partner of an enterprise network, questions are: What can be shared and what cannot?</t>
  </si>
  <si>
    <t xml:space="preserve">Political support is essential, for collecting sponsoring and gaining authority and engagement.</t>
  </si>
  <si>
    <t xml:space="preserve">The 7th star is given to a data publication, if the publication includes some kind of evaluation that the data actually conforms to the provided schemas using, e.g., SHACL36 or ShEx37 [53]. The idea here is to encourage publishers to publish high quality data as data quality of L...</t>
  </si>
  <si>
    <t xml:space="preserve">In INSPIRE data specifications refer to predefined interoperability target specifications (Tóth et al. 2012). They contain agreed data models, based on a generic conceptual data model (European Commission 2013), common encoding rules, harmonised vocabularies, and registers (Europ...</t>
  </si>
  <si>
    <t xml:space="preserve">To this end, concepts, meanings and syntaxes should be accurately identified to represent evidence in a way, that is, understandable and actionable for all parties involved. In particular, the cross-border implementation of the OOP requires that the information obtained from base...</t>
  </si>
  <si>
    <t xml:space="preserve">To ensure that anyone can freely use and distribute the results of the project, the OSLO-specification and all related documentation15 were published under an Open License. OSLO adopted the ISA Open Metadata v1.1 license16.</t>
  </si>
  <si>
    <t xml:space="preserve">According to the experience of the DE4A semantic team and the elicited knowledge of the related functioning of public administrations, the DEOSEF’s three layers are: 
—Lower-level layer or case-specific layer: for the modelling of canonical evidence types resulting from a classif...</t>
  </si>
  <si>
    <t xml:space="preserve">The EESSI project contains two major blocks: (1) A Central EESSI Project that delivers a pan-European platform (called Central EESSI Platform or Central EESSI System) for electronic information exchange.
Electronic exchange requires a certain level of security, common agreement o...</t>
  </si>
  <si>
    <t xml:space="preserve">The IMI Core Vocabulary developed in the Japanese IMI project provides a Concept Dictionary (description of meaning, relationship and hierarchical structure) and sample Information Exchange Package Descriptions for fundamental terms which can be accessed on the project website23 ...</t>
  </si>
  <si>
    <t xml:space="preserve">This section aims at exploring use cases on the employment of AI for fostering interoperability.
It analyses a subset of the case collection on AI already published in open data and presented in a previous report (Tangi et al., 2022).
The exponential growth of data is affecting s...</t>
  </si>
  <si>
    <t xml:space="preserve">The benefits are significant and diverse, ranging from the elimination and automation of repetitive tasks, to easier replicability and reusability of the service. This has a direct impact on the cost and quality of public services.</t>
  </si>
  <si>
    <t xml:space="preserve">Ontology based approaches use standardized vocabulary and structured hierarchical representations of knowledge (e.g., SNOMED CT, ICD, LOINC, RxNorm) to bring together the health care data and provide an integrated representation of data from different systems. The ontology based ...</t>
  </si>
  <si>
    <t xml:space="preserve">Australian Information Interoperability Framework – The framework describes information interoperability as the ability to transfer and use information in a uniform and efficient manner across multiple organizations and information technology systems [24]. It defines principles u...</t>
  </si>
  <si>
    <t xml:space="preserve">OSLO, and in particular its vocabulary specification, empowers a technology independent, generic representation of contact information, localization and services provided by public administrations.</t>
  </si>
  <si>
    <t xml:space="preserve">Achieving semantic interoperability becomes difficult when organizations differ in terms and meanings they use in communicating, and middleware to mediate and translate the semantic differences is required.</t>
  </si>
  <si>
    <t xml:space="preserve">Driven by the Once Only principle embedded in Flemish registration [53] an authoritative source (also referred to as an ‘authentic’ source) builds upon following principles (i) administrations are obliged to use the authentic source, to avoid requesting information from citizens ...</t>
  </si>
  <si>
    <t xml:space="preserve">teroperability, and which are fully aligned with the EIF.
The MOIA model, incorporating 34 different attributes categorized in 9 different sections, provide a more holistic perception of what organizational interoperability represents. This is achieved by introducing concerns and...</t>
  </si>
  <si>
    <t xml:space="preserve">, the development should adhere to Manifesto agile principles to ensure an adaptive and iterative approach to ontology development</t>
  </si>
  <si>
    <t xml:space="preserve">The Interoperable Europe Act10 is a legislative proposal put forward by the European Commission to promote interoperability in the public sector across the EU.</t>
  </si>
  <si>
    <t xml:space="preserve">Semantic Relatedness Score (SRS) is determined based on a hybrid matching technique that combines syntactic and semantic matching. The scores are used to populate a similarity matrix which is used as a basis to match the different schemas that the public agencies have defined in ...</t>
  </si>
  <si>
    <t xml:space="preserve">As DEOSEF is a formalisation of the empirical insights gained from the DE4A project results, including the collaboration of the project team in the SDGR Once-Only technical system initiative, this framework could not be formally validated during the DE4A project. A formal empiric...</t>
  </si>
  <si>
    <t xml:space="preserve">Legal-base verification of the elicitation outcomes.</t>
  </si>
  <si>
    <t xml:space="preserve">The Global As View approach was the first to be proposed 
for the integration of information. It comes from the world of federated databases. Among the first systems made in this 
context, TSIMMIS[2].
The Standard IBM Manager of Multiple Information 
Sources is an integrated info...</t>
  </si>
  <si>
    <t xml:space="preserve">OBSERVER presents a scalable approach for vocabulary sharing. The objects in the repositories are presented as intentional descriptions by pre-existing ontologies expressed in 
description logics characterizing information in different domains. User queries are rewritten by using...</t>
  </si>
  <si>
    <t xml:space="preserve">These registers facilitate semantic interoperability by offering common, persistent and clear descriptions of infrastructure items, referenced through unique identifiers.
Furthermore, the content is neutral from a natural language point-of-view.
Examples for such items include (i...</t>
  </si>
  <si>
    <t xml:space="preserve">Formalization. OSLO offers documentation for various target audiences and has a knowledge base with details on the specification (both human and machine readable): 
– Specification targeted towards developers and policy makers: OSLO 1.118; 
– Knowledge Base19 
– Mapping guideline...</t>
  </si>
  <si>
    <t xml:space="preserve">Non-legally binding technical guidance documents illustrate how data providers establish access to metadata for discovery services through catalogue service for the web (CSW).</t>
  </si>
  <si>
    <t xml:space="preserve">One option to go beyond the closed data spaces is to start making agreements for data space interoperability. This would mean having some common agreements of how to go about with semantics and having some common agreements and alignment on how to deal with identification, authen...</t>
  </si>
  <si>
    <t xml:space="preserve">Governance: as described in the Specification Process (3.2), a permanent steering committee was installed, which represents the ‘authority’. The steering committee validates the installation of a new thematic working group, each new vocabulary, each review of a vocabulary and the...</t>
  </si>
  <si>
    <t xml:space="preserve">The effort was begun in May 2000 with an e-mail discussion list, and since then there have been over 6000 e-mail messages among 170 subscribers. These subscribers include representatives from government, academia and industry in various countries</t>
  </si>
  <si>
    <t xml:space="preserve">Both the bottom-up and top-down approach were important to create the necessary political support. OSLO was built on consensus, rather than on a legal framework.</t>
  </si>
  <si>
    <t xml:space="preserve">Validations planned are based on the business model and are therefore described in XSDs Schemas generated by the modelling extraction tool especially designed for this project. Each time a validation fails an associated validation error is sent back from EMS/EMD (EESSI Messaging ...</t>
  </si>
  <si>
    <t xml:space="preserve">There are some relevant commonly used vocabularies focusing on a specific domains: to describe persons there is the Friend of a Friend (FOAF) vocabulary7 . The Simple Knowledge Organization Scheme8 (SKOS) represents classification schemes and DCType9 (DC) and DCTerms10 (DCTERMS) ...</t>
  </si>
  <si>
    <t xml:space="preserve">Besides defining the foundation and the language used to represent the ontologies in the network, we needed guidelines for developing the networked ontologies. In this sense, we have adopted an approach considering the main aspects proposed in the NeOn Methodology [4], which is a...</t>
  </si>
  <si>
    <t xml:space="preserve">Computing applications in different institutions and countries are involved and this match with Level 2 in Dublin Core: interoperability among metadata-using applications is based on the shared formal model provided by RDF, which is used to support linked data. The term “linked d...</t>
  </si>
  <si>
    <t xml:space="preserve">At Level 3, applications are compatible with the linked data model and, in addition, share an abstract syntax for validatable metadata records, the “description set”. In the wider context of linked data, communication will be facilitated by generic, loosely constrained domain mod...</t>
  </si>
  <si>
    <t xml:space="preserve">We further map each noun in a triplet into the SUMO ontology [27] using deep learning-based similarity and finally, generate a semantic map for each document.</t>
  </si>
  <si>
    <t xml:space="preserve">Data modelling is probably the most popular category in the eGovernment modelling area due to the long tradition, the extended know-how and the maturity of the available supporting technologies after decades of relevant research, development and implementations. The focus of thes...</t>
  </si>
  <si>
    <t xml:space="preserve">Semantic annotation of databases and data structure includes the description of every single data element, in a form of reference to the respective entry in the domain ontology. The languages used for description are XML for data structures, XMI for all types of database (relatio...</t>
  </si>
  <si>
    <t xml:space="preserve">M). An IM describes the data exchanged between two actors to reach a specific goal and is usually expressed using sequence diagra</t>
  </si>
  <si>
    <t xml:space="preserve">A successful local usage of XML Schemas can be found in the Finnish parliament. From the beginning, the focus was not restricted to standardization of documents formats, but rather to the development of a holistic document management environment. Currently the RASKE2 project has ...</t>
  </si>
  <si>
    <t xml:space="preserve">Semantics of data models can be expressed in various forms ranging from schemas to system documentation, by annotation to ontologies, etc. Some well-known information modeling languages are evaluated below for the criteria of machine and human readability. XML provides structure ...</t>
  </si>
  <si>
    <t xml:space="preserve">statements are described using XBRL (eXtensible Business Reporting Language)10, an XML based open standard which supports information modelling and the expression of semantic meaning commonly required in business reporting. For such cases, we try to build transformations from the...</t>
  </si>
  <si>
    <t xml:space="preserve">OntoGov develops an own ontology for describing e-Government services mixing aspects of the two main approaches OWL-S (OWL-S Coalition 2004) and WSMO (Dumitru, Holger, &amp; Uwe 2004), in order to satisfy some e-Government requirements that are not addressed by such approaches.</t>
  </si>
  <si>
    <t xml:space="preserve">TerreGov adopts OWL-S for describing, and discovering services but it uses BPEL language for describing composition of services (eProcedure).</t>
  </si>
  <si>
    <t xml:space="preserve">One promising avenue for such exploration is the use of knowledge graphs, which have already been successfully implemented by tech giants such as Google and widely used in several contexts [8] – [12]. A knowledge graph is a powerful tool for organizing and analyzing complex infor...</t>
  </si>
  <si>
    <t xml:space="preserve">The proposed architecture depicted in Fig. 1 comprises three main layers: The Collection and Extraction layer, the Semantic Transformation layer, and the Integration and Knowledge Graph Construction layer.</t>
  </si>
  <si>
    <t xml:space="preserve">The approach is based on a layered architecture that can collect and extract data from structured, semi-structured, and unstructured heterogeneous government data sources.</t>
  </si>
  <si>
    <t xml:space="preserve">In the US, financials departments oblige all software to be compliant with the XBRL core data model.</t>
  </si>
  <si>
    <t xml:space="preserve">The first step in our preprocessing procedure is to generate two dictionaries: one for general English language usage and one for domain-specific usage. For the general language dictionary, we have used the Wikipedia Corpus [33]. For the domain specific dictionary, we used twelve...</t>
  </si>
  <si>
    <t xml:space="preserve">To increase digital interoperability among heterogeneous data and information systems, ERA supports and maintains a set of base registries,4 in the form of relational databases, where organisations input and access the different aspects of the information they manage and require.</t>
  </si>
  <si>
    <t xml:space="preserve">In the Digital Europe for All project (DE4A), semantic interoperability agreements are established through canonical evidence models, specified in close collaboration with domain experts. In principle, canonical evidence is a “Structured data that includes a common set of attribu...</t>
  </si>
  <si>
    <t xml:space="preserve">The first one is the domain of mapping-based approach.
This approach attempts to build mappings between 
semantically related information sources. Usually done by creating a federated schema (global) and establishing correspondences between the federated schema (global) and parti...</t>
  </si>
  <si>
    <t xml:space="preserve">The OSLO Vocabulary27 is a simplified, reusable and extensible data model that captures the fundamental characteristics of information exchanged by Flemish (Belgian) public administrations in the domains of contact information, public services and localisation. It is developed by...</t>
  </si>
  <si>
    <t xml:space="preserve">Figure 3.4 illustrates how the real-world is modelled through consensus-based data specifications and an associated data model.</t>
  </si>
  <si>
    <t xml:space="preserve">We propose that domain specific local ontologies in public agencies e.g. DMV Licence Renewal and DMV Records maintain their own naming conventions for their customer records and at the same time borrow general concepts from an upper ontology. This helps facilitate knowledge reuse...</t>
  </si>
  <si>
    <t xml:space="preserve">Two groups of stakeholders were identified: Legally Mandated Organisations (LMOs) and Spatial Data Interest Community (SDIC). They had an active and fundamental role in proposing, developing and reviewing all technical aspects (Fig. 3.6). Member states were represented by the INS...</t>
  </si>
  <si>
    <t xml:space="preserve">In our case, ontology maintenance is decentralised and publishing of ontologies is centralised (via RIHA). This approach will be supported by collaborative web-based ontology development and maintenance tool, codenamed SEHKE, under development.</t>
  </si>
  <si>
    <t xml:space="preserve">From the diagnosis of the public security IS interoperability problem, considering the complexity and size of the problem, we decided to employ an ontologybased solution, adopting a layered ON architecture as proposed by [9]. The VCP-ON architecture encompass: (i) domain ontologi...</t>
  </si>
  <si>
    <t xml:space="preserve">Ontology Alignment – In practice, conceptualizations are formally represented as ontologies – defining and relating concepts relevant to a domain, system or application [16]. Ontology alignment aims at relating concepts belonging to different ontologies or conceptualizations.</t>
  </si>
  <si>
    <t xml:space="preserve">When combining our presentation categorization and the scope categorization we noticed that the amount of national and global data models is quite similar in ER-based initiatives. Several countries have their own metadata initiatives and thus, these are more popular in national c...</t>
  </si>
  <si>
    <t xml:space="preserve">The ontology will be an open standard that can be reused for both academic and commercial purposes without fee, and it will be designed to support additional domain-specific ontologies</t>
  </si>
  <si>
    <t xml:space="preserve">The ATHENA Interoperability Framework (AIF): This framework has been developed as part of the EU-funded R&amp;D project ATHENA (http://modelbased.net/aif/). AIF provides a compound framework and associated reference architecture for capturing the research elements and solutions to in...</t>
  </si>
  <si>
    <t xml:space="preserve">An ontology for knowledge representation and reasoning in Chinese government archives is presented by Z. Wang et al. [34]. The ontology is designed to facilitate the management and retrieval of information from government archives, which contain a vast amount of historical and ad...</t>
  </si>
  <si>
    <t xml:space="preserve">The introduction of semantic reusable web components in e-government systems proved to be a significant step towards achieving better interoperability. By implementing a semantic web approach, Žitnik et al. [40] were able to enhance the efficiency and effectiveness of these syste...</t>
  </si>
  <si>
    <t xml:space="preserve">Sub-domain level (e.g. ministry/local authorities): aiming at describing specific public administration sub-domains.</t>
  </si>
  <si>
    <t xml:space="preserve">There are several classification schemes for linguistic content including Levina’s classification of English verbs [23], WordNet semantic network classification of nouns, verbs, adjectives, and adverbs [24]. There are several formal ontologies including DOLCE [25], BFO [26], and ...</t>
  </si>
  <si>
    <t xml:space="preserve">In 2001, AGORA[3] system successfully introduced 
constraints with semi-structured data. For this, it relies on the mediator LeSelect which data model is an extended relational 
model type and common query language is SQL type. AGORA 
and Internet Manifold also have failed to pro...</t>
  </si>
  <si>
    <t xml:space="preserve">Validation: SIM shall provide a service for ensuring that the data contained in a message is consistent with a concept, as defined in an ontology that specifies the semantics of the information.</t>
  </si>
  <si>
    <t xml:space="preserve">In contrast, this paper concerns the question: How to Create a National Cross-domain Ontology and Linked Data Infrastructure and Use It on the Semantic Web. This problem is addressed by presenting, discussing, and evaluating approaches and living laboratory experiments developed ...</t>
  </si>
  <si>
    <t xml:space="preserve">The second principle points to the “use HTTP URIs so that people can look up those names”. To create these stable identifiers best practices from the ISA programme for creating persistent URIs [3] were applied: including avoiding stating ownership in the URI, avoiding version num...</t>
  </si>
  <si>
    <t xml:space="preserve">The third principle: “When someone looks up a URI, provide useful information, using the standards RDF and SPARQL” is all about interoperability.</t>
  </si>
  <si>
    <t xml:space="preserve">we present how semantic bridging with SRS can be further extended by using rules. SRS provides the ontologist all schemas that are likely to be matched with high reliability and precision [15]. Rules on the other hand are cardinality constraints that can be used for matching data...</t>
  </si>
  <si>
    <t xml:space="preserve">heterogeneity can be identified by comparing and analyzing vocabularies, fact models and business rules in the hub. Integrati</t>
  </si>
  <si>
    <t xml:space="preserve">t.
In a public process workflow structure, two or more organizations come together and create new processes to be integrated with their existing processes. These new processes are common to all the partners and interface with each organization's internal private proces</t>
  </si>
  <si>
    <t xml:space="preserve">This approach relies on two or more organizations linking their internal sub-processes via a common public process.</t>
  </si>
  <si>
    <t xml:space="preserve">In this article we propose a methodology that uses semantic fusion to reduce the uncertainty existent in text by combining general usage and domain specific dictionaries.
The methodology is a quantitative method for formal evaluation of text by using the principles of ontological...</t>
  </si>
  <si>
    <t xml:space="preserve">Recently, deep learning approaches have obtained high quality results in evaluating natural language similarity. They accomplish this by training models on large corpora of text to generate a high-dimensional vector space in which semantically similar words have closer vector rep...</t>
  </si>
  <si>
    <t xml:space="preserve">our formalized semantic networks of UN, US, and Philadelphia smart city initiative documents provide a common framework which decision makers and policy analysts can utilize to analyze initiatives generated at different administrative levels.</t>
  </si>
  <si>
    <t xml:space="preserve">On the ontology level ECDC ontology uses DOLCE [16], a domain neutral top level ontology for top level concepts, and tries to build scientifically correct domain ontology.</t>
  </si>
  <si>
    <t xml:space="preserve">Dutch Interoperability Framework – Aimed at ensuring that information exchanged is meaningful to all parties within a community of interest, the framework prescribes semantic interoperability solutions involving: (i) data definitions; (ii) terminology and controlled vocabularies;...</t>
  </si>
  <si>
    <t xml:space="preserve">The Ministry of Forests and the Ministry of Sustainable Resource Management in British Columbia use the same provincial ‘‘feature code’’ dictionary to define what constitutes a ‘‘road.’’</t>
  </si>
  <si>
    <t xml:space="preserve">However, to accommodate for foreign addresses we reused and extended the Address definition of http://www.w3.org/ns/locn#Address to denote an AddressRepresentation. The locn vocabulary was designed for capturing all kinds of addresses within the world.</t>
  </si>
  <si>
    <t xml:space="preserve">The legal framework has been set by the Directive (2007/2/EC) and interdependent legal acts, which are called implementing rules, in the form of Commission regulations and decisions. By design, the infrastructure itself is built upon the SDIs established and operated by European ...</t>
  </si>
  <si>
    <t xml:space="preserve">Member States ensure that metadata are created for the spatial data sets and services corresponding to one or more of the INSPIRE themes. Those metadata have to be kept up-to-date in accordance with the data and services (European Commission 2007a, b). INSPIRE metadata are based ...</t>
  </si>
  <si>
    <t xml:space="preserve">According Europeana, linked open data are a way of publishing structured data that allows metadata to be connected and enriched, so that different representations of the same content can be found, and links made between related resources.</t>
  </si>
  <si>
    <t xml:space="preserve">The Swedish Company Data Model (Bolagsverket)29, instigated by the Swedish Companies Registration Office, has created conceptual data models (Grundläggande uppgifter om företag) of core concepts and information exchange objects that are used by Swedish public administrations to r...</t>
  </si>
  <si>
    <t xml:space="preserve">A conceptual model is an abstract and simplified description of the reality that has to be represented. An explicit specification of a conceptual model is an ontology.
To match the re-usability requirement of our approach, we refer to the conceptual model as an abstract definitio...</t>
  </si>
  <si>
    <t xml:space="preserve">Semantic Conflicts recognize that differences in conceptualization may lead to different types of semantic conflicts in information exchanged between network entities including [11]: (i) different representations for the same value type; (ii) differences in the units or scales of...</t>
  </si>
  <si>
    <t xml:space="preserve">Due to the vastness of the topic and the plethora of existing literature, this study is not exhaustive, and an alternative methodology could be fruitful to extract more insight and complement the literature findings, e.g., expand the knowledge sphere by conducting semi-structured...</t>
  </si>
  <si>
    <t xml:space="preserve">Semantic Description – Collaborating organizations should provide semantic descriptions, based on government-wide specifications and ontologies, of enterprise elements – shared data, collaborative processes, services and regulations, government and social networks, etc. as semant...</t>
  </si>
  <si>
    <t xml:space="preserve">a) Scope • Global level: attempts to present generic models applicable and reusable across different countries • National/federal level: models aiming at nationwide acceptance and applicability • Sub-domain level (e.g. ministry/local authorities): aiming at describing specific pu...</t>
  </si>
  <si>
    <t xml:space="preserve">Nevertheless, there existed prior initiatives that were aimed at exploring the implementation of OOP at a European level. One of the early milestones was PEPPOL [14], which was active from 2008 to 2012 and was aimed at addressing interoperability issues in electronic public procu...</t>
  </si>
  <si>
    <t xml:space="preserve">Linked domain ontologies of the original KOKO ontology cloud. Contemporary versions of these RDFS ontologies are available transformed automatically into SKOS format at the national ontology service https://finto.fi 
Ontology Application domain # of concepts YSO General upper ont...</t>
  </si>
  <si>
    <t xml:space="preserve">. The effort is targeted for use in automated inference, semantic interoperability between heterogeneous information systems and natural language processing applications</t>
  </si>
  <si>
    <t xml:space="preserve">The sectors referred to in the retrieved literature were Health, Education, Cultural Heritage, Digital Government, Agriculture, Environment, and Open Statistical Data</t>
  </si>
</sst>
</file>

<file path=xl/styles.xml><?xml version="1.0" encoding="utf-8"?>
<styleSheet xmlns="http://schemas.openxmlformats.org/spreadsheetml/2006/main">
  <numFmts count="3">
    <numFmt numFmtId="164" formatCode="General"/>
    <numFmt numFmtId="165" formatCode="0%"/>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2"/>
      <color rgb="FF1F4E78"/>
      <name val="Arial"/>
      <family val="0"/>
      <charset val="1"/>
    </font>
    <font>
      <sz val="10"/>
      <name val="Arial"/>
      <family val="0"/>
      <charset val="1"/>
    </font>
    <font>
      <b val="true"/>
      <sz val="10"/>
      <name val="Arial"/>
      <family val="0"/>
      <charset val="1"/>
    </font>
    <font>
      <b val="true"/>
      <sz val="11"/>
      <color rgb="FFFFFFFF"/>
      <name val="Arial"/>
      <family val="0"/>
      <charset val="1"/>
    </font>
    <font>
      <b val="true"/>
      <sz val="10"/>
      <color rgb="FF548235"/>
      <name val="Arial"/>
      <family val="0"/>
      <charset val="1"/>
    </font>
    <font>
      <b val="true"/>
      <sz val="10"/>
      <color rgb="FFC00000"/>
      <name val="Arial"/>
      <family val="0"/>
      <charset val="1"/>
    </font>
    <font>
      <b val="true"/>
      <sz val="10"/>
      <color rgb="FFBF8F0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E8F4EA"/>
        <bgColor rgb="FFFFF2CC"/>
      </patternFill>
    </fill>
    <fill>
      <patternFill patternType="solid">
        <fgColor rgb="FFFFF2CC"/>
        <bgColor rgb="FFFCE4D6"/>
      </patternFill>
    </fill>
    <fill>
      <patternFill patternType="solid">
        <fgColor rgb="FFD9E1F2"/>
        <bgColor rgb="FFE8F4EA"/>
      </patternFill>
    </fill>
    <fill>
      <patternFill patternType="solid">
        <fgColor rgb="FFFCE4D6"/>
        <bgColor rgb="FFFFF2CC"/>
      </patternFill>
    </fill>
    <fill>
      <patternFill patternType="solid">
        <fgColor rgb="FFF4CC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right"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E8F4EA"/>
          <bgColor rgb="FF000000"/>
        </patternFill>
      </fill>
    </dxf>
    <dxf>
      <fill>
        <patternFill patternType="solid">
          <fgColor rgb="FFF4CCCC"/>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548235"/>
          <bgColor rgb="FF000000"/>
        </patternFill>
      </fill>
    </dxf>
    <dxf>
      <fill>
        <patternFill patternType="solid">
          <fgColor rgb="FFBF8F00"/>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E8F4E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4CCCC"/>
      <rgbColor rgb="FF3366FF"/>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 collapsed="false" customWidth="true" hidden="false" outlineLevel="0" max="2" min="2" style="0" width="18"/>
    <col collapsed="false" customWidth="true" hidden="false" outlineLevel="0" max="3" min="3" style="0" width="7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15" hidden="false" customHeight="false" outlineLevel="0" collapsed="false">
      <c r="A6" s="4" t="s">
        <v>4</v>
      </c>
      <c r="B6" s="5" t="n">
        <v>983</v>
      </c>
    </row>
    <row r="7" customFormat="false" ht="15" hidden="false" customHeight="false" outlineLevel="0" collapsed="false">
      <c r="A7" s="4" t="s">
        <v>5</v>
      </c>
      <c r="B7" s="5" t="n">
        <v>36</v>
      </c>
    </row>
    <row r="8" customFormat="false" ht="15" hidden="false" customHeight="false" outlineLevel="0" collapsed="false">
      <c r="A8" s="4" t="s">
        <v>6</v>
      </c>
      <c r="B8" s="5" t="n">
        <v>154</v>
      </c>
    </row>
    <row r="9" customFormat="false" ht="15" hidden="false" customHeight="false" outlineLevel="0" collapsed="false">
      <c r="A9" s="4" t="s">
        <v>7</v>
      </c>
      <c r="B9" s="5" t="n">
        <v>139</v>
      </c>
    </row>
    <row r="10" customFormat="false" ht="15" hidden="false" customHeight="false" outlineLevel="0" collapsed="false">
      <c r="A10" s="4" t="s">
        <v>8</v>
      </c>
      <c r="B10" s="5" t="n">
        <v>23</v>
      </c>
    </row>
    <row r="11" customFormat="false" ht="15" hidden="false" customHeight="false" outlineLevel="0" collapsed="false">
      <c r="A11" s="4" t="s">
        <v>9</v>
      </c>
      <c r="B11" s="5" t="n">
        <v>10</v>
      </c>
    </row>
    <row r="12" customFormat="false" ht="15" hidden="false" customHeight="false" outlineLevel="0" collapsed="false">
      <c r="A12" s="4" t="s">
        <v>10</v>
      </c>
      <c r="B12" s="5" t="n">
        <v>23</v>
      </c>
    </row>
    <row r="13" customFormat="false" ht="15" hidden="false" customHeight="false" outlineLevel="0" collapsed="false">
      <c r="A13" s="4" t="s">
        <v>11</v>
      </c>
      <c r="B13" s="5" t="n">
        <v>33</v>
      </c>
    </row>
    <row r="14" customFormat="false" ht="15" hidden="false" customHeight="false" outlineLevel="0" collapsed="false">
      <c r="A14" s="4" t="s">
        <v>12</v>
      </c>
      <c r="B14" s="5" t="n">
        <v>15</v>
      </c>
    </row>
    <row r="17" customFormat="false" ht="15" hidden="false" customHeight="false" outlineLevel="0" collapsed="false">
      <c r="A17" s="3" t="s">
        <v>13</v>
      </c>
    </row>
    <row r="18" customFormat="false" ht="15" hidden="false" customHeight="false" outlineLevel="0" collapsed="false">
      <c r="A18" s="6" t="s">
        <v>14</v>
      </c>
      <c r="B18" s="6" t="s">
        <v>15</v>
      </c>
      <c r="C18" s="6" t="s">
        <v>16</v>
      </c>
    </row>
    <row r="19" customFormat="false" ht="15" hidden="false" customHeight="false" outlineLevel="0" collapsed="false">
      <c r="A19" s="7" t="s">
        <v>17</v>
      </c>
      <c r="B19" s="4" t="n">
        <v>95</v>
      </c>
      <c r="C19" s="4" t="s">
        <v>18</v>
      </c>
    </row>
    <row r="20" customFormat="false" ht="15" hidden="false" customHeight="false" outlineLevel="0" collapsed="false">
      <c r="A20" s="7" t="s">
        <v>19</v>
      </c>
      <c r="B20" s="4" t="n">
        <v>9</v>
      </c>
      <c r="C20" s="4" t="s">
        <v>20</v>
      </c>
    </row>
    <row r="21" customFormat="false" ht="15" hidden="false" customHeight="false" outlineLevel="0" collapsed="false">
      <c r="A21" s="7" t="s">
        <v>21</v>
      </c>
      <c r="B21" s="4" t="n">
        <v>14</v>
      </c>
      <c r="C21" s="4" t="s">
        <v>22</v>
      </c>
    </row>
    <row r="22" customFormat="false" ht="15" hidden="false" customHeight="false" outlineLevel="0" collapsed="false">
      <c r="A22" s="7" t="s">
        <v>23</v>
      </c>
      <c r="B22" s="4" t="n">
        <v>1</v>
      </c>
      <c r="C22" s="4" t="s">
        <v>24</v>
      </c>
    </row>
    <row r="23" customFormat="false" ht="15" hidden="false" customHeight="false" outlineLevel="0" collapsed="false">
      <c r="A23" s="7" t="s">
        <v>25</v>
      </c>
      <c r="B23" s="4" t="n">
        <v>1</v>
      </c>
      <c r="C23" s="4" t="s">
        <v>26</v>
      </c>
    </row>
    <row r="24" customFormat="false" ht="15" hidden="false" customHeight="false" outlineLevel="0" collapsed="false">
      <c r="A24" s="7" t="s">
        <v>27</v>
      </c>
      <c r="B24" s="4" t="n">
        <v>19</v>
      </c>
      <c r="C24" s="4" t="s">
        <v>28</v>
      </c>
    </row>
    <row r="27" customFormat="false" ht="15" hidden="false" customHeight="false" outlineLevel="0" collapsed="false">
      <c r="A27" s="3" t="s">
        <v>29</v>
      </c>
    </row>
    <row r="28" customFormat="false" ht="15" hidden="false" customHeight="false" outlineLevel="0" collapsed="false">
      <c r="A28" s="6" t="s">
        <v>30</v>
      </c>
      <c r="B28" s="6" t="s">
        <v>15</v>
      </c>
      <c r="C28" s="6" t="s">
        <v>31</v>
      </c>
    </row>
    <row r="29" customFormat="false" ht="15" hidden="false" customHeight="false" outlineLevel="0" collapsed="false">
      <c r="A29" s="7" t="n">
        <v>1</v>
      </c>
      <c r="B29" s="4" t="n">
        <v>24</v>
      </c>
      <c r="C29" s="4" t="s">
        <v>32</v>
      </c>
    </row>
    <row r="30" customFormat="false" ht="15" hidden="false" customHeight="false" outlineLevel="0" collapsed="false">
      <c r="A30" s="7" t="n">
        <v>2</v>
      </c>
      <c r="B30" s="4" t="n">
        <v>31</v>
      </c>
      <c r="C30" s="4" t="s">
        <v>33</v>
      </c>
    </row>
    <row r="31" customFormat="false" ht="15" hidden="false" customHeight="false" outlineLevel="0" collapsed="false">
      <c r="A31" s="7" t="n">
        <v>3</v>
      </c>
      <c r="B31" s="4" t="n">
        <v>84</v>
      </c>
      <c r="C31" s="4" t="s">
        <v>34</v>
      </c>
    </row>
    <row r="34" customFormat="false" ht="15" hidden="false" customHeight="false" outlineLevel="0" collapsed="false">
      <c r="A34" s="3" t="s">
        <v>35</v>
      </c>
    </row>
    <row r="35" customFormat="false" ht="79.85" hidden="false" customHeight="false" outlineLevel="0" collapsed="false">
      <c r="A35" s="7" t="s">
        <v>36</v>
      </c>
      <c r="B35" s="8" t="s">
        <v>37</v>
      </c>
    </row>
    <row r="36" customFormat="false" ht="68.65" hidden="false" customHeight="false" outlineLevel="0" collapsed="false">
      <c r="A36" s="7" t="s">
        <v>38</v>
      </c>
      <c r="B36" s="8" t="s">
        <v>39</v>
      </c>
    </row>
    <row r="37" customFormat="false" ht="46.25" hidden="false" customHeight="false" outlineLevel="0" collapsed="false">
      <c r="A37" s="7" t="s">
        <v>40</v>
      </c>
      <c r="B37" s="8" t="s">
        <v>41</v>
      </c>
    </row>
    <row r="38" customFormat="false" ht="57.45" hidden="false" customHeight="false" outlineLevel="0" collapsed="false">
      <c r="A38" s="7" t="s">
        <v>42</v>
      </c>
      <c r="B38" s="8" t="s">
        <v>43</v>
      </c>
    </row>
    <row r="39" customFormat="false" ht="46.25" hidden="false" customHeight="false" outlineLevel="0" collapsed="false">
      <c r="A39" s="7" t="s">
        <v>44</v>
      </c>
      <c r="B39" s="8" t="s">
        <v>45</v>
      </c>
    </row>
    <row r="40" customFormat="false" ht="68.65" hidden="false" customHeight="false" outlineLevel="0" collapsed="false">
      <c r="A40" s="7" t="s">
        <v>46</v>
      </c>
      <c r="B40" s="8" t="s">
        <v>47</v>
      </c>
    </row>
    <row r="41" customFormat="false" ht="46.25" hidden="false" customHeight="false" outlineLevel="0" collapsed="false">
      <c r="A41" s="7" t="s">
        <v>48</v>
      </c>
      <c r="B41" s="8"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24"/>
    <col collapsed="false" customWidth="true" hidden="false" outlineLevel="0" max="3" min="3" style="0" width="38"/>
    <col collapsed="false" customWidth="true" hidden="false" outlineLevel="0" max="4" min="4" style="0" width="8"/>
    <col collapsed="false" customWidth="true" hidden="false" outlineLevel="0" max="6" min="5" style="0" width="10"/>
    <col collapsed="false" customWidth="true" hidden="false" outlineLevel="0" max="7" min="7" style="0" width="8"/>
    <col collapsed="false" customWidth="true" hidden="false" outlineLevel="0" max="8" min="8" style="0" width="14"/>
    <col collapsed="false" customWidth="true" hidden="false" outlineLevel="0" max="9" min="9" style="0" width="38"/>
    <col collapsed="false" customWidth="true" hidden="false" outlineLevel="0" max="10" min="10" style="0" width="60"/>
    <col collapsed="false" customWidth="true" hidden="false" outlineLevel="0" max="11" min="11" style="0" width="9"/>
    <col collapsed="false" customWidth="true" hidden="false" outlineLevel="0" max="12" min="12" style="0" width="50"/>
  </cols>
  <sheetData>
    <row r="1" customFormat="false" ht="30" hidden="false" customHeight="true" outlineLevel="0" collapsed="false">
      <c r="A1" s="9" t="s">
        <v>50</v>
      </c>
      <c r="B1" s="9" t="s">
        <v>51</v>
      </c>
      <c r="C1" s="9" t="s">
        <v>52</v>
      </c>
      <c r="D1" s="9" t="s">
        <v>53</v>
      </c>
      <c r="E1" s="9" t="s">
        <v>54</v>
      </c>
      <c r="F1" s="9" t="s">
        <v>55</v>
      </c>
      <c r="G1" s="9" t="s">
        <v>56</v>
      </c>
      <c r="H1" s="9" t="s">
        <v>14</v>
      </c>
      <c r="I1" s="9" t="s">
        <v>57</v>
      </c>
      <c r="J1" s="9" t="s">
        <v>58</v>
      </c>
      <c r="K1" s="9" t="s">
        <v>30</v>
      </c>
      <c r="L1" s="9" t="s">
        <v>59</v>
      </c>
    </row>
    <row r="2" customFormat="false" ht="46.25" hidden="false" customHeight="false" outlineLevel="0" collapsed="false">
      <c r="A2" s="10" t="s">
        <v>60</v>
      </c>
      <c r="B2" s="10" t="s">
        <v>61</v>
      </c>
      <c r="C2" s="10" t="s">
        <v>62</v>
      </c>
      <c r="D2" s="10" t="s">
        <v>63</v>
      </c>
      <c r="E2" s="11" t="n">
        <v>95</v>
      </c>
      <c r="F2" s="11" t="n">
        <v>26</v>
      </c>
      <c r="G2" s="12" t="n">
        <v>0.722222222222222</v>
      </c>
      <c r="H2" s="13" t="s">
        <v>17</v>
      </c>
      <c r="I2" s="10"/>
      <c r="J2" s="10" t="s">
        <v>64</v>
      </c>
      <c r="K2" s="14" t="n">
        <v>3</v>
      </c>
      <c r="L2" s="10" t="s">
        <v>65</v>
      </c>
    </row>
    <row r="3" customFormat="false" ht="46.25" hidden="false" customHeight="false" outlineLevel="0" collapsed="false">
      <c r="A3" s="10" t="s">
        <v>66</v>
      </c>
      <c r="B3" s="10" t="s">
        <v>61</v>
      </c>
      <c r="C3" s="10" t="s">
        <v>67</v>
      </c>
      <c r="D3" s="10" t="s">
        <v>63</v>
      </c>
      <c r="E3" s="11" t="n">
        <v>56</v>
      </c>
      <c r="F3" s="11" t="n">
        <v>22</v>
      </c>
      <c r="G3" s="12" t="n">
        <v>0.611111111111111</v>
      </c>
      <c r="H3" s="15" t="s">
        <v>19</v>
      </c>
      <c r="I3" s="10" t="s">
        <v>68</v>
      </c>
      <c r="J3" s="10" t="s">
        <v>69</v>
      </c>
      <c r="K3" s="16" t="n">
        <v>1</v>
      </c>
      <c r="L3" s="10" t="s">
        <v>70</v>
      </c>
    </row>
    <row r="4" customFormat="false" ht="46.25" hidden="false" customHeight="false" outlineLevel="0" collapsed="false">
      <c r="A4" s="10" t="s">
        <v>71</v>
      </c>
      <c r="B4" s="10" t="s">
        <v>61</v>
      </c>
      <c r="C4" s="10" t="s">
        <v>72</v>
      </c>
      <c r="D4" s="10" t="s">
        <v>63</v>
      </c>
      <c r="E4" s="11" t="n">
        <v>44</v>
      </c>
      <c r="F4" s="11" t="n">
        <v>21</v>
      </c>
      <c r="G4" s="12" t="n">
        <v>0.583333333333333</v>
      </c>
      <c r="H4" s="13" t="s">
        <v>17</v>
      </c>
      <c r="I4" s="10"/>
      <c r="J4" s="10" t="s">
        <v>73</v>
      </c>
      <c r="K4" s="14" t="n">
        <v>3</v>
      </c>
      <c r="L4" s="10" t="s">
        <v>70</v>
      </c>
    </row>
    <row r="5" customFormat="false" ht="46.25" hidden="false" customHeight="false" outlineLevel="0" collapsed="false">
      <c r="A5" s="10" t="s">
        <v>74</v>
      </c>
      <c r="B5" s="10" t="s">
        <v>61</v>
      </c>
      <c r="C5" s="10" t="s">
        <v>75</v>
      </c>
      <c r="D5" s="10" t="s">
        <v>63</v>
      </c>
      <c r="E5" s="11" t="n">
        <v>31</v>
      </c>
      <c r="F5" s="11" t="n">
        <v>19</v>
      </c>
      <c r="G5" s="12" t="n">
        <v>0.527777777777778</v>
      </c>
      <c r="H5" s="17" t="s">
        <v>27</v>
      </c>
      <c r="I5" s="10" t="s">
        <v>76</v>
      </c>
      <c r="J5" s="10" t="s">
        <v>77</v>
      </c>
      <c r="K5" s="18" t="n">
        <v>2</v>
      </c>
      <c r="L5" s="10" t="s">
        <v>78</v>
      </c>
    </row>
    <row r="6" customFormat="false" ht="46.25" hidden="false" customHeight="false" outlineLevel="0" collapsed="false">
      <c r="A6" s="10" t="s">
        <v>79</v>
      </c>
      <c r="B6" s="10" t="s">
        <v>61</v>
      </c>
      <c r="C6" s="10" t="s">
        <v>80</v>
      </c>
      <c r="D6" s="10" t="s">
        <v>63</v>
      </c>
      <c r="E6" s="11" t="n">
        <v>25</v>
      </c>
      <c r="F6" s="11" t="n">
        <v>11</v>
      </c>
      <c r="G6" s="12" t="n">
        <v>0.305555555555556</v>
      </c>
      <c r="H6" s="13" t="s">
        <v>17</v>
      </c>
      <c r="I6" s="10"/>
      <c r="J6" s="10" t="s">
        <v>81</v>
      </c>
      <c r="K6" s="14" t="n">
        <v>3</v>
      </c>
      <c r="L6" s="10" t="s">
        <v>82</v>
      </c>
    </row>
    <row r="7" customFormat="false" ht="46.25" hidden="false" customHeight="false" outlineLevel="0" collapsed="false">
      <c r="A7" s="10" t="s">
        <v>83</v>
      </c>
      <c r="B7" s="10" t="s">
        <v>61</v>
      </c>
      <c r="C7" s="10" t="s">
        <v>84</v>
      </c>
      <c r="D7" s="10" t="s">
        <v>63</v>
      </c>
      <c r="E7" s="11" t="n">
        <v>23</v>
      </c>
      <c r="F7" s="11" t="n">
        <v>13</v>
      </c>
      <c r="G7" s="12" t="n">
        <v>0.361111111111111</v>
      </c>
      <c r="H7" s="13" t="s">
        <v>17</v>
      </c>
      <c r="I7" s="10"/>
      <c r="J7" s="10" t="s">
        <v>85</v>
      </c>
      <c r="K7" s="14" t="n">
        <v>3</v>
      </c>
      <c r="L7" s="10" t="s">
        <v>86</v>
      </c>
    </row>
    <row r="8" customFormat="false" ht="46.25" hidden="false" customHeight="false" outlineLevel="0" collapsed="false">
      <c r="A8" s="10" t="s">
        <v>87</v>
      </c>
      <c r="B8" s="10" t="s">
        <v>61</v>
      </c>
      <c r="C8" s="10" t="s">
        <v>88</v>
      </c>
      <c r="D8" s="10" t="s">
        <v>63</v>
      </c>
      <c r="E8" s="11" t="n">
        <v>21</v>
      </c>
      <c r="F8" s="11" t="n">
        <v>10</v>
      </c>
      <c r="G8" s="12" t="n">
        <v>0.277777777777778</v>
      </c>
      <c r="H8" s="17" t="s">
        <v>27</v>
      </c>
      <c r="I8" s="10" t="s">
        <v>89</v>
      </c>
      <c r="J8" s="10" t="s">
        <v>90</v>
      </c>
      <c r="K8" s="18" t="n">
        <v>2</v>
      </c>
      <c r="L8" s="10" t="s">
        <v>82</v>
      </c>
    </row>
    <row r="9" customFormat="false" ht="46.25" hidden="false" customHeight="false" outlineLevel="0" collapsed="false">
      <c r="A9" s="10" t="s">
        <v>91</v>
      </c>
      <c r="B9" s="10" t="s">
        <v>61</v>
      </c>
      <c r="C9" s="10" t="s">
        <v>92</v>
      </c>
      <c r="D9" s="10" t="s">
        <v>63</v>
      </c>
      <c r="E9" s="11" t="n">
        <v>18</v>
      </c>
      <c r="F9" s="11" t="n">
        <v>10</v>
      </c>
      <c r="G9" s="12" t="n">
        <v>0.277777777777778</v>
      </c>
      <c r="H9" s="13" t="s">
        <v>17</v>
      </c>
      <c r="I9" s="10"/>
      <c r="J9" s="10" t="s">
        <v>93</v>
      </c>
      <c r="K9" s="14" t="n">
        <v>3</v>
      </c>
      <c r="L9" s="10" t="s">
        <v>94</v>
      </c>
    </row>
    <row r="10" customFormat="false" ht="46.25" hidden="false" customHeight="false" outlineLevel="0" collapsed="false">
      <c r="A10" s="10" t="s">
        <v>95</v>
      </c>
      <c r="B10" s="10" t="s">
        <v>61</v>
      </c>
      <c r="C10" s="10" t="s">
        <v>96</v>
      </c>
      <c r="D10" s="10" t="s">
        <v>63</v>
      </c>
      <c r="E10" s="11" t="n">
        <v>17</v>
      </c>
      <c r="F10" s="11" t="n">
        <v>12</v>
      </c>
      <c r="G10" s="12" t="n">
        <v>0.333333333333333</v>
      </c>
      <c r="H10" s="13" t="s">
        <v>17</v>
      </c>
      <c r="I10" s="10"/>
      <c r="J10" s="10" t="s">
        <v>97</v>
      </c>
      <c r="K10" s="14" t="n">
        <v>3</v>
      </c>
      <c r="L10" s="10" t="s">
        <v>98</v>
      </c>
    </row>
    <row r="11" customFormat="false" ht="46.25" hidden="false" customHeight="false" outlineLevel="0" collapsed="false">
      <c r="A11" s="10" t="s">
        <v>99</v>
      </c>
      <c r="B11" s="10" t="s">
        <v>61</v>
      </c>
      <c r="C11" s="10" t="s">
        <v>100</v>
      </c>
      <c r="D11" s="10" t="s">
        <v>63</v>
      </c>
      <c r="E11" s="11" t="n">
        <v>14</v>
      </c>
      <c r="F11" s="11" t="n">
        <v>5</v>
      </c>
      <c r="G11" s="12" t="n">
        <v>0.138888888888889</v>
      </c>
      <c r="H11" s="13" t="s">
        <v>17</v>
      </c>
      <c r="I11" s="10"/>
      <c r="J11" s="10" t="s">
        <v>101</v>
      </c>
      <c r="K11" s="14" t="n">
        <v>3</v>
      </c>
      <c r="L11" s="10" t="s">
        <v>102</v>
      </c>
    </row>
    <row r="12" customFormat="false" ht="46.25" hidden="false" customHeight="false" outlineLevel="0" collapsed="false">
      <c r="A12" s="10" t="s">
        <v>103</v>
      </c>
      <c r="B12" s="10" t="s">
        <v>61</v>
      </c>
      <c r="C12" s="10" t="s">
        <v>104</v>
      </c>
      <c r="D12" s="10" t="s">
        <v>63</v>
      </c>
      <c r="E12" s="11" t="n">
        <v>13</v>
      </c>
      <c r="F12" s="11" t="n">
        <v>10</v>
      </c>
      <c r="G12" s="12" t="n">
        <v>0.277777777777778</v>
      </c>
      <c r="H12" s="13" t="s">
        <v>17</v>
      </c>
      <c r="I12" s="10"/>
      <c r="J12" s="10" t="s">
        <v>105</v>
      </c>
      <c r="K12" s="14" t="n">
        <v>3</v>
      </c>
      <c r="L12" s="10" t="s">
        <v>78</v>
      </c>
    </row>
    <row r="13" customFormat="false" ht="46.25" hidden="false" customHeight="false" outlineLevel="0" collapsed="false">
      <c r="A13" s="10" t="s">
        <v>106</v>
      </c>
      <c r="B13" s="10" t="s">
        <v>61</v>
      </c>
      <c r="C13" s="10" t="s">
        <v>107</v>
      </c>
      <c r="D13" s="10" t="s">
        <v>63</v>
      </c>
      <c r="E13" s="11" t="n">
        <v>13</v>
      </c>
      <c r="F13" s="11" t="n">
        <v>9</v>
      </c>
      <c r="G13" s="12" t="n">
        <v>0.25</v>
      </c>
      <c r="H13" s="13" t="s">
        <v>17</v>
      </c>
      <c r="I13" s="10"/>
      <c r="J13" s="10" t="s">
        <v>108</v>
      </c>
      <c r="K13" s="14" t="n">
        <v>3</v>
      </c>
      <c r="L13" s="10" t="s">
        <v>109</v>
      </c>
    </row>
    <row r="14" customFormat="false" ht="46.25" hidden="false" customHeight="false" outlineLevel="0" collapsed="false">
      <c r="A14" s="10" t="s">
        <v>110</v>
      </c>
      <c r="B14" s="10" t="s">
        <v>61</v>
      </c>
      <c r="C14" s="10" t="s">
        <v>111</v>
      </c>
      <c r="D14" s="10" t="s">
        <v>63</v>
      </c>
      <c r="E14" s="11" t="n">
        <v>12</v>
      </c>
      <c r="F14" s="11" t="n">
        <v>8</v>
      </c>
      <c r="G14" s="12" t="n">
        <v>0.222222222222222</v>
      </c>
      <c r="H14" s="13" t="s">
        <v>17</v>
      </c>
      <c r="I14" s="10"/>
      <c r="J14" s="10" t="s">
        <v>112</v>
      </c>
      <c r="K14" s="14" t="n">
        <v>3</v>
      </c>
      <c r="L14" s="10" t="s">
        <v>113</v>
      </c>
    </row>
    <row r="15" customFormat="false" ht="46.25" hidden="false" customHeight="false" outlineLevel="0" collapsed="false">
      <c r="A15" s="10" t="s">
        <v>114</v>
      </c>
      <c r="B15" s="10" t="s">
        <v>61</v>
      </c>
      <c r="C15" s="10" t="s">
        <v>115</v>
      </c>
      <c r="D15" s="10" t="s">
        <v>63</v>
      </c>
      <c r="E15" s="11" t="n">
        <v>12</v>
      </c>
      <c r="F15" s="11" t="n">
        <v>8</v>
      </c>
      <c r="G15" s="12" t="n">
        <v>0.222222222222222</v>
      </c>
      <c r="H15" s="13" t="s">
        <v>17</v>
      </c>
      <c r="I15" s="10"/>
      <c r="J15" s="10" t="s">
        <v>116</v>
      </c>
      <c r="K15" s="14" t="n">
        <v>3</v>
      </c>
      <c r="L15" s="10" t="s">
        <v>117</v>
      </c>
    </row>
    <row r="16" customFormat="false" ht="46.25" hidden="false" customHeight="false" outlineLevel="0" collapsed="false">
      <c r="A16" s="10" t="s">
        <v>118</v>
      </c>
      <c r="B16" s="10" t="s">
        <v>61</v>
      </c>
      <c r="C16" s="10" t="s">
        <v>119</v>
      </c>
      <c r="D16" s="10" t="s">
        <v>63</v>
      </c>
      <c r="E16" s="11" t="n">
        <v>11</v>
      </c>
      <c r="F16" s="11" t="n">
        <v>5</v>
      </c>
      <c r="G16" s="12" t="n">
        <v>0.138888888888889</v>
      </c>
      <c r="H16" s="13" t="s">
        <v>17</v>
      </c>
      <c r="I16" s="10"/>
      <c r="J16" s="10" t="s">
        <v>120</v>
      </c>
      <c r="K16" s="14" t="n">
        <v>3</v>
      </c>
      <c r="L16" s="10" t="s">
        <v>121</v>
      </c>
    </row>
    <row r="17" customFormat="false" ht="46.25" hidden="false" customHeight="false" outlineLevel="0" collapsed="false">
      <c r="A17" s="10" t="s">
        <v>122</v>
      </c>
      <c r="B17" s="10" t="s">
        <v>61</v>
      </c>
      <c r="C17" s="10" t="s">
        <v>123</v>
      </c>
      <c r="D17" s="10" t="s">
        <v>63</v>
      </c>
      <c r="E17" s="11" t="n">
        <v>10</v>
      </c>
      <c r="F17" s="11" t="n">
        <v>8</v>
      </c>
      <c r="G17" s="12" t="n">
        <v>0.222222222222222</v>
      </c>
      <c r="H17" s="17" t="s">
        <v>27</v>
      </c>
      <c r="I17" s="10" t="s">
        <v>124</v>
      </c>
      <c r="J17" s="10" t="s">
        <v>125</v>
      </c>
      <c r="K17" s="18" t="n">
        <v>2</v>
      </c>
      <c r="L17" s="10" t="s">
        <v>126</v>
      </c>
    </row>
    <row r="18" customFormat="false" ht="46.25" hidden="false" customHeight="false" outlineLevel="0" collapsed="false">
      <c r="A18" s="10" t="s">
        <v>127</v>
      </c>
      <c r="B18" s="10" t="s">
        <v>61</v>
      </c>
      <c r="C18" s="10" t="s">
        <v>128</v>
      </c>
      <c r="D18" s="10" t="s">
        <v>63</v>
      </c>
      <c r="E18" s="11" t="n">
        <v>10</v>
      </c>
      <c r="F18" s="11" t="n">
        <v>8</v>
      </c>
      <c r="G18" s="12" t="n">
        <v>0.222222222222222</v>
      </c>
      <c r="H18" s="13" t="s">
        <v>17</v>
      </c>
      <c r="I18" s="10"/>
      <c r="J18" s="10" t="s">
        <v>129</v>
      </c>
      <c r="K18" s="14" t="n">
        <v>3</v>
      </c>
      <c r="L18" s="10" t="s">
        <v>130</v>
      </c>
    </row>
    <row r="19" customFormat="false" ht="46.25" hidden="false" customHeight="false" outlineLevel="0" collapsed="false">
      <c r="A19" s="10" t="s">
        <v>131</v>
      </c>
      <c r="B19" s="10" t="s">
        <v>61</v>
      </c>
      <c r="C19" s="10" t="s">
        <v>132</v>
      </c>
      <c r="D19" s="10" t="s">
        <v>63</v>
      </c>
      <c r="E19" s="11" t="n">
        <v>10</v>
      </c>
      <c r="F19" s="11" t="n">
        <v>6</v>
      </c>
      <c r="G19" s="12" t="n">
        <v>0.166666666666667</v>
      </c>
      <c r="H19" s="13" t="s">
        <v>17</v>
      </c>
      <c r="I19" s="10"/>
      <c r="J19" s="10" t="s">
        <v>133</v>
      </c>
      <c r="K19" s="14" t="n">
        <v>3</v>
      </c>
      <c r="L19" s="10" t="s">
        <v>134</v>
      </c>
    </row>
    <row r="20" customFormat="false" ht="46.25" hidden="false" customHeight="false" outlineLevel="0" collapsed="false">
      <c r="A20" s="10" t="s">
        <v>135</v>
      </c>
      <c r="B20" s="10" t="s">
        <v>61</v>
      </c>
      <c r="C20" s="10" t="s">
        <v>136</v>
      </c>
      <c r="D20" s="10" t="s">
        <v>63</v>
      </c>
      <c r="E20" s="11" t="n">
        <v>9</v>
      </c>
      <c r="F20" s="11" t="n">
        <v>8</v>
      </c>
      <c r="G20" s="12" t="n">
        <v>0.222222222222222</v>
      </c>
      <c r="H20" s="13" t="s">
        <v>17</v>
      </c>
      <c r="I20" s="10"/>
      <c r="J20" s="10" t="s">
        <v>137</v>
      </c>
      <c r="K20" s="14" t="n">
        <v>3</v>
      </c>
      <c r="L20" s="10" t="s">
        <v>138</v>
      </c>
    </row>
    <row r="21" customFormat="false" ht="46.25" hidden="false" customHeight="false" outlineLevel="0" collapsed="false">
      <c r="A21" s="10" t="s">
        <v>139</v>
      </c>
      <c r="B21" s="10" t="s">
        <v>61</v>
      </c>
      <c r="C21" s="10" t="s">
        <v>140</v>
      </c>
      <c r="D21" s="10" t="s">
        <v>63</v>
      </c>
      <c r="E21" s="11" t="n">
        <v>9</v>
      </c>
      <c r="F21" s="11" t="n">
        <v>7</v>
      </c>
      <c r="G21" s="12" t="n">
        <v>0.194444444444444</v>
      </c>
      <c r="H21" s="17" t="s">
        <v>27</v>
      </c>
      <c r="I21" s="10" t="s">
        <v>141</v>
      </c>
      <c r="J21" s="10" t="s">
        <v>142</v>
      </c>
      <c r="K21" s="18" t="n">
        <v>2</v>
      </c>
      <c r="L21" s="10" t="s">
        <v>143</v>
      </c>
    </row>
    <row r="22" customFormat="false" ht="46.25" hidden="false" customHeight="false" outlineLevel="0" collapsed="false">
      <c r="A22" s="10" t="s">
        <v>144</v>
      </c>
      <c r="B22" s="10" t="s">
        <v>61</v>
      </c>
      <c r="C22" s="10" t="s">
        <v>145</v>
      </c>
      <c r="D22" s="10" t="s">
        <v>63</v>
      </c>
      <c r="E22" s="11" t="n">
        <v>8</v>
      </c>
      <c r="F22" s="11" t="n">
        <v>4</v>
      </c>
      <c r="G22" s="12" t="n">
        <v>0.111111111111111</v>
      </c>
      <c r="H22" s="13" t="s">
        <v>17</v>
      </c>
      <c r="I22" s="10"/>
      <c r="J22" s="10" t="s">
        <v>146</v>
      </c>
      <c r="K22" s="14" t="n">
        <v>3</v>
      </c>
      <c r="L22" s="10" t="s">
        <v>147</v>
      </c>
    </row>
    <row r="23" customFormat="false" ht="46.25" hidden="false" customHeight="false" outlineLevel="0" collapsed="false">
      <c r="A23" s="10" t="s">
        <v>148</v>
      </c>
      <c r="B23" s="10" t="s">
        <v>61</v>
      </c>
      <c r="C23" s="10" t="s">
        <v>149</v>
      </c>
      <c r="D23" s="10" t="s">
        <v>63</v>
      </c>
      <c r="E23" s="11" t="n">
        <v>8</v>
      </c>
      <c r="F23" s="11" t="n">
        <v>6</v>
      </c>
      <c r="G23" s="12" t="n">
        <v>0.166666666666667</v>
      </c>
      <c r="H23" s="13" t="s">
        <v>17</v>
      </c>
      <c r="I23" s="10"/>
      <c r="J23" s="10" t="s">
        <v>150</v>
      </c>
      <c r="K23" s="14" t="n">
        <v>3</v>
      </c>
      <c r="L23" s="10" t="s">
        <v>151</v>
      </c>
    </row>
    <row r="24" customFormat="false" ht="46.25" hidden="false" customHeight="false" outlineLevel="0" collapsed="false">
      <c r="A24" s="10" t="s">
        <v>152</v>
      </c>
      <c r="B24" s="10" t="s">
        <v>61</v>
      </c>
      <c r="C24" s="10" t="s">
        <v>153</v>
      </c>
      <c r="D24" s="10" t="s">
        <v>63</v>
      </c>
      <c r="E24" s="11" t="n">
        <v>8</v>
      </c>
      <c r="F24" s="11" t="n">
        <v>6</v>
      </c>
      <c r="G24" s="12" t="n">
        <v>0.166666666666667</v>
      </c>
      <c r="H24" s="17" t="s">
        <v>27</v>
      </c>
      <c r="I24" s="10" t="s">
        <v>154</v>
      </c>
      <c r="J24" s="10" t="s">
        <v>155</v>
      </c>
      <c r="K24" s="18" t="n">
        <v>2</v>
      </c>
      <c r="L24" s="10" t="s">
        <v>156</v>
      </c>
    </row>
    <row r="25" customFormat="false" ht="46.25" hidden="false" customHeight="false" outlineLevel="0" collapsed="false">
      <c r="A25" s="10" t="s">
        <v>157</v>
      </c>
      <c r="B25" s="10" t="s">
        <v>61</v>
      </c>
      <c r="C25" s="10" t="s">
        <v>158</v>
      </c>
      <c r="D25" s="10" t="s">
        <v>63</v>
      </c>
      <c r="E25" s="11" t="n">
        <v>7</v>
      </c>
      <c r="F25" s="11" t="n">
        <v>5</v>
      </c>
      <c r="G25" s="12" t="n">
        <v>0.138888888888889</v>
      </c>
      <c r="H25" s="13" t="s">
        <v>17</v>
      </c>
      <c r="I25" s="10"/>
      <c r="J25" s="10" t="s">
        <v>159</v>
      </c>
      <c r="K25" s="14" t="n">
        <v>3</v>
      </c>
      <c r="L25" s="10" t="s">
        <v>160</v>
      </c>
    </row>
    <row r="26" customFormat="false" ht="46.25" hidden="false" customHeight="false" outlineLevel="0" collapsed="false">
      <c r="A26" s="10" t="s">
        <v>161</v>
      </c>
      <c r="B26" s="10" t="s">
        <v>61</v>
      </c>
      <c r="C26" s="10" t="s">
        <v>162</v>
      </c>
      <c r="D26" s="10" t="s">
        <v>63</v>
      </c>
      <c r="E26" s="11" t="n">
        <v>7</v>
      </c>
      <c r="F26" s="11" t="n">
        <v>6</v>
      </c>
      <c r="G26" s="12" t="n">
        <v>0.166666666666667</v>
      </c>
      <c r="H26" s="17" t="s">
        <v>27</v>
      </c>
      <c r="I26" s="10"/>
      <c r="J26" s="10" t="s">
        <v>163</v>
      </c>
      <c r="K26" s="18" t="n">
        <v>2</v>
      </c>
      <c r="L26" s="10" t="s">
        <v>164</v>
      </c>
    </row>
    <row r="27" customFormat="false" ht="46.25" hidden="false" customHeight="false" outlineLevel="0" collapsed="false">
      <c r="A27" s="10" t="s">
        <v>165</v>
      </c>
      <c r="B27" s="10" t="s">
        <v>61</v>
      </c>
      <c r="C27" s="10" t="s">
        <v>166</v>
      </c>
      <c r="D27" s="10" t="s">
        <v>63</v>
      </c>
      <c r="E27" s="11" t="n">
        <v>6</v>
      </c>
      <c r="F27" s="11" t="n">
        <v>4</v>
      </c>
      <c r="G27" s="12" t="n">
        <v>0.111111111111111</v>
      </c>
      <c r="H27" s="17" t="s">
        <v>27</v>
      </c>
      <c r="I27" s="10" t="s">
        <v>167</v>
      </c>
      <c r="J27" s="10" t="s">
        <v>168</v>
      </c>
      <c r="K27" s="18" t="n">
        <v>2</v>
      </c>
      <c r="L27" s="10" t="s">
        <v>86</v>
      </c>
    </row>
    <row r="28" customFormat="false" ht="46.25" hidden="false" customHeight="false" outlineLevel="0" collapsed="false">
      <c r="A28" s="10" t="s">
        <v>169</v>
      </c>
      <c r="B28" s="10" t="s">
        <v>61</v>
      </c>
      <c r="C28" s="10" t="s">
        <v>170</v>
      </c>
      <c r="D28" s="10" t="s">
        <v>63</v>
      </c>
      <c r="E28" s="11" t="n">
        <v>6</v>
      </c>
      <c r="F28" s="11" t="n">
        <v>3</v>
      </c>
      <c r="G28" s="12" t="n">
        <v>0.0833333333333333</v>
      </c>
      <c r="H28" s="13" t="s">
        <v>17</v>
      </c>
      <c r="I28" s="10"/>
      <c r="J28" s="10" t="s">
        <v>171</v>
      </c>
      <c r="K28" s="14" t="n">
        <v>3</v>
      </c>
      <c r="L28" s="10" t="s">
        <v>172</v>
      </c>
    </row>
    <row r="29" customFormat="false" ht="46.25" hidden="false" customHeight="false" outlineLevel="0" collapsed="false">
      <c r="A29" s="10" t="s">
        <v>173</v>
      </c>
      <c r="B29" s="10" t="s">
        <v>61</v>
      </c>
      <c r="C29" s="10" t="s">
        <v>174</v>
      </c>
      <c r="D29" s="10" t="s">
        <v>63</v>
      </c>
      <c r="E29" s="11" t="n">
        <v>6</v>
      </c>
      <c r="F29" s="11" t="n">
        <v>2</v>
      </c>
      <c r="G29" s="12" t="n">
        <v>0.0555555555555556</v>
      </c>
      <c r="H29" s="13" t="s">
        <v>17</v>
      </c>
      <c r="I29" s="10"/>
      <c r="J29" s="10" t="s">
        <v>175</v>
      </c>
      <c r="K29" s="14" t="n">
        <v>3</v>
      </c>
      <c r="L29" s="10" t="s">
        <v>126</v>
      </c>
    </row>
    <row r="30" customFormat="false" ht="46.25" hidden="false" customHeight="false" outlineLevel="0" collapsed="false">
      <c r="A30" s="10" t="s">
        <v>176</v>
      </c>
      <c r="B30" s="10" t="s">
        <v>61</v>
      </c>
      <c r="C30" s="10" t="s">
        <v>177</v>
      </c>
      <c r="D30" s="10" t="s">
        <v>63</v>
      </c>
      <c r="E30" s="11" t="n">
        <v>5</v>
      </c>
      <c r="F30" s="11" t="n">
        <v>4</v>
      </c>
      <c r="G30" s="12" t="n">
        <v>0.111111111111111</v>
      </c>
      <c r="H30" s="13" t="s">
        <v>17</v>
      </c>
      <c r="I30" s="10"/>
      <c r="J30" s="10" t="s">
        <v>178</v>
      </c>
      <c r="K30" s="14" t="n">
        <v>3</v>
      </c>
      <c r="L30" s="10" t="s">
        <v>179</v>
      </c>
    </row>
    <row r="31" customFormat="false" ht="46.25" hidden="false" customHeight="false" outlineLevel="0" collapsed="false">
      <c r="A31" s="10" t="s">
        <v>180</v>
      </c>
      <c r="B31" s="10" t="s">
        <v>61</v>
      </c>
      <c r="C31" s="10" t="s">
        <v>181</v>
      </c>
      <c r="D31" s="10" t="s">
        <v>63</v>
      </c>
      <c r="E31" s="11" t="n">
        <v>4</v>
      </c>
      <c r="F31" s="11" t="n">
        <v>3</v>
      </c>
      <c r="G31" s="12" t="n">
        <v>0.0833333333333333</v>
      </c>
      <c r="H31" s="15" t="s">
        <v>19</v>
      </c>
      <c r="I31" s="10" t="s">
        <v>182</v>
      </c>
      <c r="J31" s="10" t="s">
        <v>183</v>
      </c>
      <c r="K31" s="16" t="n">
        <v>1</v>
      </c>
      <c r="L31" s="10" t="s">
        <v>143</v>
      </c>
    </row>
    <row r="32" customFormat="false" ht="46.25" hidden="false" customHeight="false" outlineLevel="0" collapsed="false">
      <c r="A32" s="10" t="s">
        <v>184</v>
      </c>
      <c r="B32" s="10" t="s">
        <v>61</v>
      </c>
      <c r="C32" s="10" t="s">
        <v>185</v>
      </c>
      <c r="D32" s="10" t="s">
        <v>63</v>
      </c>
      <c r="E32" s="11" t="n">
        <v>4</v>
      </c>
      <c r="F32" s="11" t="n">
        <v>3</v>
      </c>
      <c r="G32" s="12" t="n">
        <v>0.0833333333333333</v>
      </c>
      <c r="H32" s="13" t="s">
        <v>17</v>
      </c>
      <c r="I32" s="10"/>
      <c r="J32" s="10" t="s">
        <v>186</v>
      </c>
      <c r="K32" s="14" t="n">
        <v>3</v>
      </c>
      <c r="L32" s="10" t="s">
        <v>187</v>
      </c>
    </row>
    <row r="33" customFormat="false" ht="46.25" hidden="false" customHeight="false" outlineLevel="0" collapsed="false">
      <c r="A33" s="10" t="s">
        <v>188</v>
      </c>
      <c r="B33" s="10" t="s">
        <v>61</v>
      </c>
      <c r="C33" s="10" t="s">
        <v>189</v>
      </c>
      <c r="D33" s="10" t="s">
        <v>63</v>
      </c>
      <c r="E33" s="11" t="n">
        <v>4</v>
      </c>
      <c r="F33" s="11" t="n">
        <v>3</v>
      </c>
      <c r="G33" s="12" t="n">
        <v>0.0833333333333333</v>
      </c>
      <c r="H33" s="15" t="s">
        <v>19</v>
      </c>
      <c r="I33" s="10" t="s">
        <v>190</v>
      </c>
      <c r="J33" s="10" t="s">
        <v>191</v>
      </c>
      <c r="K33" s="18" t="n">
        <v>2</v>
      </c>
      <c r="L33" s="10" t="s">
        <v>192</v>
      </c>
    </row>
    <row r="34" customFormat="false" ht="46.25" hidden="false" customHeight="false" outlineLevel="0" collapsed="false">
      <c r="A34" s="10" t="s">
        <v>193</v>
      </c>
      <c r="B34" s="10" t="s">
        <v>61</v>
      </c>
      <c r="C34" s="10" t="s">
        <v>194</v>
      </c>
      <c r="D34" s="10" t="s">
        <v>63</v>
      </c>
      <c r="E34" s="11" t="n">
        <v>4</v>
      </c>
      <c r="F34" s="11" t="n">
        <v>3</v>
      </c>
      <c r="G34" s="12" t="n">
        <v>0.0833333333333333</v>
      </c>
      <c r="H34" s="17" t="s">
        <v>27</v>
      </c>
      <c r="I34" s="10" t="s">
        <v>195</v>
      </c>
      <c r="J34" s="10" t="s">
        <v>196</v>
      </c>
      <c r="K34" s="18" t="n">
        <v>2</v>
      </c>
      <c r="L34" s="10" t="s">
        <v>197</v>
      </c>
    </row>
    <row r="35" customFormat="false" ht="46.25" hidden="false" customHeight="false" outlineLevel="0" collapsed="false">
      <c r="A35" s="10" t="s">
        <v>198</v>
      </c>
      <c r="B35" s="10" t="s">
        <v>61</v>
      </c>
      <c r="C35" s="10" t="s">
        <v>199</v>
      </c>
      <c r="D35" s="10" t="s">
        <v>63</v>
      </c>
      <c r="E35" s="11" t="n">
        <v>3</v>
      </c>
      <c r="F35" s="11" t="n">
        <v>2</v>
      </c>
      <c r="G35" s="12" t="n">
        <v>0.0555555555555556</v>
      </c>
      <c r="H35" s="13" t="s">
        <v>17</v>
      </c>
      <c r="I35" s="10"/>
      <c r="J35" s="10" t="s">
        <v>200</v>
      </c>
      <c r="K35" s="14" t="n">
        <v>3</v>
      </c>
      <c r="L35" s="10" t="s">
        <v>201</v>
      </c>
    </row>
    <row r="36" customFormat="false" ht="46.25" hidden="false" customHeight="false" outlineLevel="0" collapsed="false">
      <c r="A36" s="10" t="s">
        <v>202</v>
      </c>
      <c r="B36" s="10" t="s">
        <v>61</v>
      </c>
      <c r="C36" s="10" t="s">
        <v>203</v>
      </c>
      <c r="D36" s="10" t="s">
        <v>63</v>
      </c>
      <c r="E36" s="11" t="n">
        <v>3</v>
      </c>
      <c r="F36" s="11" t="n">
        <v>3</v>
      </c>
      <c r="G36" s="12" t="n">
        <v>0.0833333333333333</v>
      </c>
      <c r="H36" s="13" t="s">
        <v>17</v>
      </c>
      <c r="I36" s="10"/>
      <c r="J36" s="10" t="s">
        <v>204</v>
      </c>
      <c r="K36" s="14" t="n">
        <v>3</v>
      </c>
      <c r="L36" s="10" t="s">
        <v>205</v>
      </c>
    </row>
    <row r="37" customFormat="false" ht="46.25" hidden="false" customHeight="false" outlineLevel="0" collapsed="false">
      <c r="A37" s="10" t="s">
        <v>206</v>
      </c>
      <c r="B37" s="10" t="s">
        <v>61</v>
      </c>
      <c r="C37" s="10" t="s">
        <v>207</v>
      </c>
      <c r="D37" s="10" t="s">
        <v>63</v>
      </c>
      <c r="E37" s="11" t="n">
        <v>3</v>
      </c>
      <c r="F37" s="11" t="n">
        <v>3</v>
      </c>
      <c r="G37" s="12" t="n">
        <v>0.0833333333333333</v>
      </c>
      <c r="H37" s="13" t="s">
        <v>17</v>
      </c>
      <c r="I37" s="10"/>
      <c r="J37" s="10" t="s">
        <v>208</v>
      </c>
      <c r="K37" s="14" t="n">
        <v>3</v>
      </c>
      <c r="L37" s="10" t="s">
        <v>209</v>
      </c>
    </row>
    <row r="38" customFormat="false" ht="46.25" hidden="false" customHeight="false" outlineLevel="0" collapsed="false">
      <c r="A38" s="10" t="s">
        <v>210</v>
      </c>
      <c r="B38" s="10" t="s">
        <v>61</v>
      </c>
      <c r="C38" s="10" t="s">
        <v>211</v>
      </c>
      <c r="D38" s="10" t="s">
        <v>63</v>
      </c>
      <c r="E38" s="11" t="n">
        <v>2</v>
      </c>
      <c r="F38" s="11" t="n">
        <v>1</v>
      </c>
      <c r="G38" s="12" t="n">
        <v>0.0277777777777778</v>
      </c>
      <c r="H38" s="19" t="s">
        <v>21</v>
      </c>
      <c r="I38" s="10" t="s">
        <v>74</v>
      </c>
      <c r="J38" s="10" t="s">
        <v>212</v>
      </c>
      <c r="K38" s="16" t="n">
        <v>1</v>
      </c>
      <c r="L38" s="10" t="s">
        <v>86</v>
      </c>
    </row>
    <row r="39" customFormat="false" ht="46.25" hidden="false" customHeight="false" outlineLevel="0" collapsed="false">
      <c r="A39" s="10" t="s">
        <v>213</v>
      </c>
      <c r="B39" s="10" t="s">
        <v>61</v>
      </c>
      <c r="C39" s="10" t="s">
        <v>214</v>
      </c>
      <c r="D39" s="10" t="s">
        <v>63</v>
      </c>
      <c r="E39" s="11" t="n">
        <v>2</v>
      </c>
      <c r="F39" s="11" t="n">
        <v>2</v>
      </c>
      <c r="G39" s="12" t="n">
        <v>0.0555555555555556</v>
      </c>
      <c r="H39" s="17" t="s">
        <v>27</v>
      </c>
      <c r="I39" s="10" t="s">
        <v>215</v>
      </c>
      <c r="J39" s="10" t="s">
        <v>216</v>
      </c>
      <c r="K39" s="18" t="n">
        <v>2</v>
      </c>
      <c r="L39" s="10" t="s">
        <v>217</v>
      </c>
    </row>
    <row r="40" customFormat="false" ht="46.25" hidden="false" customHeight="false" outlineLevel="0" collapsed="false">
      <c r="A40" s="10" t="s">
        <v>218</v>
      </c>
      <c r="B40" s="10" t="s">
        <v>61</v>
      </c>
      <c r="C40" s="10" t="s">
        <v>219</v>
      </c>
      <c r="D40" s="10" t="s">
        <v>63</v>
      </c>
      <c r="E40" s="11" t="n">
        <v>2</v>
      </c>
      <c r="F40" s="11" t="n">
        <v>2</v>
      </c>
      <c r="G40" s="12" t="n">
        <v>0.0555555555555556</v>
      </c>
      <c r="H40" s="13" t="s">
        <v>17</v>
      </c>
      <c r="I40" s="10"/>
      <c r="J40" s="10" t="s">
        <v>220</v>
      </c>
      <c r="K40" s="18" t="n">
        <v>2</v>
      </c>
      <c r="L40" s="10" t="s">
        <v>121</v>
      </c>
    </row>
    <row r="41" customFormat="false" ht="46.25" hidden="false" customHeight="false" outlineLevel="0" collapsed="false">
      <c r="A41" s="10" t="s">
        <v>221</v>
      </c>
      <c r="B41" s="10" t="s">
        <v>61</v>
      </c>
      <c r="C41" s="10" t="s">
        <v>222</v>
      </c>
      <c r="D41" s="10" t="s">
        <v>63</v>
      </c>
      <c r="E41" s="11" t="n">
        <v>1</v>
      </c>
      <c r="F41" s="11" t="n">
        <v>1</v>
      </c>
      <c r="G41" s="12" t="n">
        <v>0.0277777777777778</v>
      </c>
      <c r="H41" s="19" t="s">
        <v>21</v>
      </c>
      <c r="I41" s="10" t="s">
        <v>218</v>
      </c>
      <c r="J41" s="10" t="s">
        <v>223</v>
      </c>
      <c r="K41" s="16" t="n">
        <v>1</v>
      </c>
      <c r="L41" s="10" t="s">
        <v>224</v>
      </c>
    </row>
    <row r="42" customFormat="false" ht="46.25" hidden="false" customHeight="false" outlineLevel="0" collapsed="false">
      <c r="A42" s="10" t="s">
        <v>225</v>
      </c>
      <c r="B42" s="10" t="s">
        <v>61</v>
      </c>
      <c r="C42" s="10" t="s">
        <v>226</v>
      </c>
      <c r="D42" s="10" t="s">
        <v>63</v>
      </c>
      <c r="E42" s="11" t="n">
        <v>1</v>
      </c>
      <c r="F42" s="11" t="n">
        <v>1</v>
      </c>
      <c r="G42" s="12" t="n">
        <v>0.0277777777777778</v>
      </c>
      <c r="H42" s="19" t="s">
        <v>21</v>
      </c>
      <c r="I42" s="10" t="s">
        <v>99</v>
      </c>
      <c r="J42" s="10" t="s">
        <v>227</v>
      </c>
      <c r="K42" s="16" t="n">
        <v>1</v>
      </c>
      <c r="L42" s="10" t="s">
        <v>228</v>
      </c>
    </row>
    <row r="43" customFormat="false" ht="35.05" hidden="false" customHeight="false" outlineLevel="0" collapsed="false">
      <c r="A43" s="10" t="s">
        <v>229</v>
      </c>
      <c r="B43" s="10" t="s">
        <v>61</v>
      </c>
      <c r="C43" s="10" t="s">
        <v>230</v>
      </c>
      <c r="D43" s="10" t="s">
        <v>63</v>
      </c>
      <c r="E43" s="11" t="n">
        <v>1</v>
      </c>
      <c r="F43" s="11" t="n">
        <v>1</v>
      </c>
      <c r="G43" s="12" t="n">
        <v>0.0277777777777778</v>
      </c>
      <c r="H43" s="19" t="s">
        <v>21</v>
      </c>
      <c r="I43" s="10" t="s">
        <v>173</v>
      </c>
      <c r="J43" s="10" t="s">
        <v>231</v>
      </c>
      <c r="K43" s="16" t="n">
        <v>1</v>
      </c>
      <c r="L43" s="10" t="s">
        <v>232</v>
      </c>
    </row>
    <row r="44" customFormat="false" ht="46.25" hidden="false" customHeight="false" outlineLevel="0" collapsed="false">
      <c r="A44" s="10" t="s">
        <v>233</v>
      </c>
      <c r="B44" s="10" t="s">
        <v>61</v>
      </c>
      <c r="C44" s="10" t="s">
        <v>234</v>
      </c>
      <c r="D44" s="10" t="s">
        <v>63</v>
      </c>
      <c r="E44" s="11" t="n">
        <v>1</v>
      </c>
      <c r="F44" s="11" t="n">
        <v>1</v>
      </c>
      <c r="G44" s="12" t="n">
        <v>0.0277777777777778</v>
      </c>
      <c r="H44" s="19" t="s">
        <v>21</v>
      </c>
      <c r="I44" s="10" t="s">
        <v>135</v>
      </c>
      <c r="J44" s="10" t="s">
        <v>235</v>
      </c>
      <c r="K44" s="16" t="n">
        <v>1</v>
      </c>
      <c r="L44" s="10" t="s">
        <v>236</v>
      </c>
    </row>
    <row r="45" customFormat="false" ht="15" hidden="false" customHeight="false" outlineLevel="0" collapsed="false">
      <c r="A45" s="10" t="s">
        <v>237</v>
      </c>
      <c r="B45" s="10" t="s">
        <v>61</v>
      </c>
      <c r="C45" s="10" t="s">
        <v>238</v>
      </c>
      <c r="D45" s="10" t="s">
        <v>63</v>
      </c>
      <c r="E45" s="11" t="n">
        <v>1</v>
      </c>
      <c r="F45" s="11" t="n">
        <v>1</v>
      </c>
      <c r="G45" s="12" t="n">
        <v>0.0277777777777778</v>
      </c>
      <c r="H45" s="19" t="s">
        <v>21</v>
      </c>
      <c r="I45" s="10" t="s">
        <v>148</v>
      </c>
      <c r="J45" s="10" t="s">
        <v>239</v>
      </c>
      <c r="K45" s="16" t="n">
        <v>1</v>
      </c>
      <c r="L45" s="10" t="s">
        <v>240</v>
      </c>
    </row>
    <row r="46" customFormat="false" ht="46.25" hidden="false" customHeight="false" outlineLevel="0" collapsed="false">
      <c r="A46" s="10" t="s">
        <v>241</v>
      </c>
      <c r="B46" s="10" t="s">
        <v>242</v>
      </c>
      <c r="C46" s="10" t="s">
        <v>243</v>
      </c>
      <c r="D46" s="10" t="s">
        <v>63</v>
      </c>
      <c r="E46" s="11" t="n">
        <v>42</v>
      </c>
      <c r="F46" s="11" t="n">
        <v>20</v>
      </c>
      <c r="G46" s="12" t="n">
        <v>0.555555555555556</v>
      </c>
      <c r="H46" s="13" t="s">
        <v>17</v>
      </c>
      <c r="I46" s="10"/>
      <c r="J46" s="10" t="s">
        <v>244</v>
      </c>
      <c r="K46" s="14" t="n">
        <v>3</v>
      </c>
      <c r="L46" s="10" t="s">
        <v>245</v>
      </c>
    </row>
    <row r="47" customFormat="false" ht="46.25" hidden="false" customHeight="false" outlineLevel="0" collapsed="false">
      <c r="A47" s="10" t="s">
        <v>246</v>
      </c>
      <c r="B47" s="10" t="s">
        <v>242</v>
      </c>
      <c r="C47" s="10" t="s">
        <v>247</v>
      </c>
      <c r="D47" s="10" t="s">
        <v>63</v>
      </c>
      <c r="E47" s="11" t="n">
        <v>25</v>
      </c>
      <c r="F47" s="11" t="n">
        <v>14</v>
      </c>
      <c r="G47" s="12" t="n">
        <v>0.388888888888889</v>
      </c>
      <c r="H47" s="13" t="s">
        <v>17</v>
      </c>
      <c r="I47" s="10"/>
      <c r="J47" s="10" t="s">
        <v>248</v>
      </c>
      <c r="K47" s="14" t="n">
        <v>3</v>
      </c>
      <c r="L47" s="10" t="s">
        <v>245</v>
      </c>
    </row>
    <row r="48" customFormat="false" ht="57.45" hidden="false" customHeight="false" outlineLevel="0" collapsed="false">
      <c r="A48" s="10" t="s">
        <v>249</v>
      </c>
      <c r="B48" s="10" t="s">
        <v>242</v>
      </c>
      <c r="C48" s="10" t="s">
        <v>250</v>
      </c>
      <c r="D48" s="10" t="s">
        <v>63</v>
      </c>
      <c r="E48" s="11" t="n">
        <v>22</v>
      </c>
      <c r="F48" s="11" t="n">
        <v>10</v>
      </c>
      <c r="G48" s="12" t="n">
        <v>0.277777777777778</v>
      </c>
      <c r="H48" s="13" t="s">
        <v>17</v>
      </c>
      <c r="I48" s="10"/>
      <c r="J48" s="10" t="s">
        <v>251</v>
      </c>
      <c r="K48" s="14" t="n">
        <v>3</v>
      </c>
      <c r="L48" s="10" t="s">
        <v>252</v>
      </c>
    </row>
    <row r="49" customFormat="false" ht="46.25" hidden="false" customHeight="false" outlineLevel="0" collapsed="false">
      <c r="A49" s="10" t="s">
        <v>253</v>
      </c>
      <c r="B49" s="10" t="s">
        <v>242</v>
      </c>
      <c r="C49" s="10" t="s">
        <v>254</v>
      </c>
      <c r="D49" s="10" t="s">
        <v>63</v>
      </c>
      <c r="E49" s="11" t="n">
        <v>20</v>
      </c>
      <c r="F49" s="11" t="n">
        <v>14</v>
      </c>
      <c r="G49" s="12" t="n">
        <v>0.388888888888889</v>
      </c>
      <c r="H49" s="13" t="s">
        <v>17</v>
      </c>
      <c r="I49" s="10"/>
      <c r="J49" s="10" t="s">
        <v>255</v>
      </c>
      <c r="K49" s="14" t="n">
        <v>3</v>
      </c>
      <c r="L49" s="10" t="s">
        <v>245</v>
      </c>
    </row>
    <row r="50" customFormat="false" ht="57.45" hidden="false" customHeight="false" outlineLevel="0" collapsed="false">
      <c r="A50" s="10" t="s">
        <v>256</v>
      </c>
      <c r="B50" s="10" t="s">
        <v>242</v>
      </c>
      <c r="C50" s="10" t="s">
        <v>257</v>
      </c>
      <c r="D50" s="10" t="s">
        <v>63</v>
      </c>
      <c r="E50" s="11" t="n">
        <v>17</v>
      </c>
      <c r="F50" s="11" t="n">
        <v>10</v>
      </c>
      <c r="G50" s="12" t="n">
        <v>0.277777777777778</v>
      </c>
      <c r="H50" s="15" t="s">
        <v>19</v>
      </c>
      <c r="I50" s="10" t="s">
        <v>258</v>
      </c>
      <c r="J50" s="10" t="s">
        <v>259</v>
      </c>
      <c r="K50" s="16" t="n">
        <v>1</v>
      </c>
      <c r="L50" s="10" t="s">
        <v>252</v>
      </c>
    </row>
    <row r="51" customFormat="false" ht="46.25" hidden="false" customHeight="false" outlineLevel="0" collapsed="false">
      <c r="A51" s="10" t="s">
        <v>260</v>
      </c>
      <c r="B51" s="10" t="s">
        <v>242</v>
      </c>
      <c r="C51" s="10" t="s">
        <v>261</v>
      </c>
      <c r="D51" s="10" t="s">
        <v>63</v>
      </c>
      <c r="E51" s="11" t="n">
        <v>16</v>
      </c>
      <c r="F51" s="11" t="n">
        <v>10</v>
      </c>
      <c r="G51" s="12" t="n">
        <v>0.277777777777778</v>
      </c>
      <c r="H51" s="17" t="s">
        <v>27</v>
      </c>
      <c r="I51" s="10" t="s">
        <v>262</v>
      </c>
      <c r="J51" s="10" t="s">
        <v>263</v>
      </c>
      <c r="K51" s="18" t="n">
        <v>2</v>
      </c>
      <c r="L51" s="10" t="s">
        <v>245</v>
      </c>
    </row>
    <row r="52" customFormat="false" ht="46.25" hidden="false" customHeight="false" outlineLevel="0" collapsed="false">
      <c r="A52" s="10" t="s">
        <v>264</v>
      </c>
      <c r="B52" s="10" t="s">
        <v>242</v>
      </c>
      <c r="C52" s="10" t="s">
        <v>265</v>
      </c>
      <c r="D52" s="10" t="s">
        <v>63</v>
      </c>
      <c r="E52" s="11" t="n">
        <v>16</v>
      </c>
      <c r="F52" s="11" t="n">
        <v>9</v>
      </c>
      <c r="G52" s="12" t="n">
        <v>0.25</v>
      </c>
      <c r="H52" s="13" t="s">
        <v>17</v>
      </c>
      <c r="I52" s="10"/>
      <c r="J52" s="10" t="s">
        <v>266</v>
      </c>
      <c r="K52" s="14" t="n">
        <v>3</v>
      </c>
      <c r="L52" s="10" t="s">
        <v>245</v>
      </c>
    </row>
    <row r="53" customFormat="false" ht="46.25" hidden="false" customHeight="false" outlineLevel="0" collapsed="false">
      <c r="A53" s="10" t="s">
        <v>267</v>
      </c>
      <c r="B53" s="10" t="s">
        <v>242</v>
      </c>
      <c r="C53" s="10" t="s">
        <v>268</v>
      </c>
      <c r="D53" s="10" t="s">
        <v>63</v>
      </c>
      <c r="E53" s="11" t="n">
        <v>15</v>
      </c>
      <c r="F53" s="11" t="n">
        <v>10</v>
      </c>
      <c r="G53" s="12" t="n">
        <v>0.277777777777778</v>
      </c>
      <c r="H53" s="13" t="s">
        <v>17</v>
      </c>
      <c r="I53" s="10"/>
      <c r="J53" s="10" t="s">
        <v>269</v>
      </c>
      <c r="K53" s="14" t="n">
        <v>3</v>
      </c>
      <c r="L53" s="10" t="s">
        <v>270</v>
      </c>
    </row>
    <row r="54" customFormat="false" ht="46.25" hidden="false" customHeight="false" outlineLevel="0" collapsed="false">
      <c r="A54" s="10" t="s">
        <v>271</v>
      </c>
      <c r="B54" s="10" t="s">
        <v>242</v>
      </c>
      <c r="C54" s="10" t="s">
        <v>272</v>
      </c>
      <c r="D54" s="10" t="s">
        <v>63</v>
      </c>
      <c r="E54" s="11" t="n">
        <v>14</v>
      </c>
      <c r="F54" s="11" t="n">
        <v>9</v>
      </c>
      <c r="G54" s="12" t="n">
        <v>0.25</v>
      </c>
      <c r="H54" s="13" t="s">
        <v>17</v>
      </c>
      <c r="I54" s="10"/>
      <c r="J54" s="10" t="s">
        <v>273</v>
      </c>
      <c r="K54" s="14" t="n">
        <v>3</v>
      </c>
      <c r="L54" s="10" t="s">
        <v>274</v>
      </c>
    </row>
    <row r="55" customFormat="false" ht="46.25" hidden="false" customHeight="false" outlineLevel="0" collapsed="false">
      <c r="A55" s="10" t="s">
        <v>275</v>
      </c>
      <c r="B55" s="10" t="s">
        <v>242</v>
      </c>
      <c r="C55" s="10" t="s">
        <v>276</v>
      </c>
      <c r="D55" s="10" t="s">
        <v>63</v>
      </c>
      <c r="E55" s="11" t="n">
        <v>12</v>
      </c>
      <c r="F55" s="11" t="n">
        <v>3</v>
      </c>
      <c r="G55" s="12" t="n">
        <v>0.0833333333333333</v>
      </c>
      <c r="H55" s="13" t="s">
        <v>17</v>
      </c>
      <c r="I55" s="10"/>
      <c r="J55" s="10" t="s">
        <v>277</v>
      </c>
      <c r="K55" s="14" t="n">
        <v>3</v>
      </c>
      <c r="L55" s="10" t="s">
        <v>278</v>
      </c>
    </row>
    <row r="56" customFormat="false" ht="46.25" hidden="false" customHeight="false" outlineLevel="0" collapsed="false">
      <c r="A56" s="10" t="s">
        <v>279</v>
      </c>
      <c r="B56" s="10" t="s">
        <v>242</v>
      </c>
      <c r="C56" s="10" t="s">
        <v>280</v>
      </c>
      <c r="D56" s="10" t="s">
        <v>63</v>
      </c>
      <c r="E56" s="11" t="n">
        <v>10</v>
      </c>
      <c r="F56" s="11" t="n">
        <v>7</v>
      </c>
      <c r="G56" s="12" t="n">
        <v>0.194444444444444</v>
      </c>
      <c r="H56" s="13" t="s">
        <v>17</v>
      </c>
      <c r="I56" s="10"/>
      <c r="J56" s="10" t="s">
        <v>281</v>
      </c>
      <c r="K56" s="14" t="n">
        <v>3</v>
      </c>
      <c r="L56" s="10" t="s">
        <v>282</v>
      </c>
    </row>
    <row r="57" customFormat="false" ht="46.25" hidden="false" customHeight="false" outlineLevel="0" collapsed="false">
      <c r="A57" s="10" t="s">
        <v>283</v>
      </c>
      <c r="B57" s="10" t="s">
        <v>242</v>
      </c>
      <c r="C57" s="10" t="s">
        <v>284</v>
      </c>
      <c r="D57" s="10" t="s">
        <v>63</v>
      </c>
      <c r="E57" s="11" t="n">
        <v>10</v>
      </c>
      <c r="F57" s="11" t="n">
        <v>7</v>
      </c>
      <c r="G57" s="12" t="n">
        <v>0.194444444444444</v>
      </c>
      <c r="H57" s="19" t="s">
        <v>21</v>
      </c>
      <c r="I57" s="10" t="s">
        <v>258</v>
      </c>
      <c r="J57" s="10" t="s">
        <v>285</v>
      </c>
      <c r="K57" s="16" t="n">
        <v>1</v>
      </c>
      <c r="L57" s="10" t="s">
        <v>286</v>
      </c>
    </row>
    <row r="58" customFormat="false" ht="46.25" hidden="false" customHeight="false" outlineLevel="0" collapsed="false">
      <c r="A58" s="10" t="s">
        <v>287</v>
      </c>
      <c r="B58" s="10" t="s">
        <v>242</v>
      </c>
      <c r="C58" s="10" t="s">
        <v>288</v>
      </c>
      <c r="D58" s="10" t="s">
        <v>63</v>
      </c>
      <c r="E58" s="11" t="n">
        <v>9</v>
      </c>
      <c r="F58" s="11" t="n">
        <v>7</v>
      </c>
      <c r="G58" s="12" t="n">
        <v>0.194444444444444</v>
      </c>
      <c r="H58" s="13" t="s">
        <v>17</v>
      </c>
      <c r="I58" s="10"/>
      <c r="J58" s="10" t="s">
        <v>289</v>
      </c>
      <c r="K58" s="14" t="n">
        <v>3</v>
      </c>
      <c r="L58" s="10" t="s">
        <v>290</v>
      </c>
    </row>
    <row r="59" customFormat="false" ht="46.25" hidden="false" customHeight="false" outlineLevel="0" collapsed="false">
      <c r="A59" s="10" t="s">
        <v>291</v>
      </c>
      <c r="B59" s="10" t="s">
        <v>242</v>
      </c>
      <c r="C59" s="10" t="s">
        <v>292</v>
      </c>
      <c r="D59" s="10" t="s">
        <v>63</v>
      </c>
      <c r="E59" s="11" t="n">
        <v>9</v>
      </c>
      <c r="F59" s="11" t="n">
        <v>6</v>
      </c>
      <c r="G59" s="12" t="n">
        <v>0.166666666666667</v>
      </c>
      <c r="H59" s="13" t="s">
        <v>17</v>
      </c>
      <c r="I59" s="10"/>
      <c r="J59" s="10" t="s">
        <v>293</v>
      </c>
      <c r="K59" s="14" t="n">
        <v>3</v>
      </c>
      <c r="L59" s="10" t="s">
        <v>282</v>
      </c>
    </row>
    <row r="60" customFormat="false" ht="46.25" hidden="false" customHeight="false" outlineLevel="0" collapsed="false">
      <c r="A60" s="10" t="s">
        <v>294</v>
      </c>
      <c r="B60" s="10" t="s">
        <v>242</v>
      </c>
      <c r="C60" s="10" t="s">
        <v>295</v>
      </c>
      <c r="D60" s="10" t="s">
        <v>63</v>
      </c>
      <c r="E60" s="11" t="n">
        <v>8</v>
      </c>
      <c r="F60" s="11" t="n">
        <v>6</v>
      </c>
      <c r="G60" s="12" t="n">
        <v>0.166666666666667</v>
      </c>
      <c r="H60" s="13" t="s">
        <v>17</v>
      </c>
      <c r="I60" s="10"/>
      <c r="J60" s="10" t="s">
        <v>296</v>
      </c>
      <c r="K60" s="14" t="n">
        <v>3</v>
      </c>
      <c r="L60" s="10" t="s">
        <v>297</v>
      </c>
    </row>
    <row r="61" customFormat="false" ht="46.25" hidden="false" customHeight="false" outlineLevel="0" collapsed="false">
      <c r="A61" s="10" t="s">
        <v>298</v>
      </c>
      <c r="B61" s="10" t="s">
        <v>242</v>
      </c>
      <c r="C61" s="10" t="s">
        <v>299</v>
      </c>
      <c r="D61" s="10" t="s">
        <v>63</v>
      </c>
      <c r="E61" s="11" t="n">
        <v>8</v>
      </c>
      <c r="F61" s="11" t="n">
        <v>5</v>
      </c>
      <c r="G61" s="12" t="n">
        <v>0.138888888888889</v>
      </c>
      <c r="H61" s="13" t="s">
        <v>17</v>
      </c>
      <c r="I61" s="10"/>
      <c r="J61" s="10" t="s">
        <v>293</v>
      </c>
      <c r="K61" s="14" t="n">
        <v>3</v>
      </c>
      <c r="L61" s="10" t="s">
        <v>300</v>
      </c>
    </row>
    <row r="62" customFormat="false" ht="46.25" hidden="false" customHeight="false" outlineLevel="0" collapsed="false">
      <c r="A62" s="10" t="s">
        <v>301</v>
      </c>
      <c r="B62" s="10" t="s">
        <v>242</v>
      </c>
      <c r="C62" s="10" t="s">
        <v>302</v>
      </c>
      <c r="D62" s="10" t="s">
        <v>63</v>
      </c>
      <c r="E62" s="11" t="n">
        <v>7</v>
      </c>
      <c r="F62" s="11" t="n">
        <v>5</v>
      </c>
      <c r="G62" s="12" t="n">
        <v>0.138888888888889</v>
      </c>
      <c r="H62" s="13" t="s">
        <v>17</v>
      </c>
      <c r="I62" s="10"/>
      <c r="J62" s="10" t="s">
        <v>303</v>
      </c>
      <c r="K62" s="14" t="n">
        <v>3</v>
      </c>
      <c r="L62" s="10" t="s">
        <v>304</v>
      </c>
    </row>
    <row r="63" customFormat="false" ht="46.25" hidden="false" customHeight="false" outlineLevel="0" collapsed="false">
      <c r="A63" s="10" t="s">
        <v>305</v>
      </c>
      <c r="B63" s="10" t="s">
        <v>242</v>
      </c>
      <c r="C63" s="10" t="s">
        <v>306</v>
      </c>
      <c r="D63" s="10" t="s">
        <v>63</v>
      </c>
      <c r="E63" s="11" t="n">
        <v>7</v>
      </c>
      <c r="F63" s="11" t="n">
        <v>4</v>
      </c>
      <c r="G63" s="12" t="n">
        <v>0.111111111111111</v>
      </c>
      <c r="H63" s="13" t="s">
        <v>17</v>
      </c>
      <c r="I63" s="10"/>
      <c r="J63" s="10" t="s">
        <v>307</v>
      </c>
      <c r="K63" s="14" t="n">
        <v>3</v>
      </c>
      <c r="L63" s="10" t="s">
        <v>282</v>
      </c>
    </row>
    <row r="64" customFormat="false" ht="46.25" hidden="false" customHeight="false" outlineLevel="0" collapsed="false">
      <c r="A64" s="10" t="s">
        <v>308</v>
      </c>
      <c r="B64" s="10" t="s">
        <v>242</v>
      </c>
      <c r="C64" s="10" t="s">
        <v>309</v>
      </c>
      <c r="D64" s="10" t="s">
        <v>63</v>
      </c>
      <c r="E64" s="11" t="n">
        <v>7</v>
      </c>
      <c r="F64" s="11" t="n">
        <v>5</v>
      </c>
      <c r="G64" s="12" t="n">
        <v>0.138888888888889</v>
      </c>
      <c r="H64" s="13" t="s">
        <v>17</v>
      </c>
      <c r="I64" s="10"/>
      <c r="J64" s="10" t="s">
        <v>310</v>
      </c>
      <c r="K64" s="14" t="n">
        <v>3</v>
      </c>
      <c r="L64" s="10" t="s">
        <v>311</v>
      </c>
    </row>
    <row r="65" customFormat="false" ht="57.45" hidden="false" customHeight="false" outlineLevel="0" collapsed="false">
      <c r="A65" s="10" t="s">
        <v>312</v>
      </c>
      <c r="B65" s="10" t="s">
        <v>242</v>
      </c>
      <c r="C65" s="10" t="s">
        <v>313</v>
      </c>
      <c r="D65" s="10" t="s">
        <v>63</v>
      </c>
      <c r="E65" s="11" t="n">
        <v>7</v>
      </c>
      <c r="F65" s="11" t="n">
        <v>5</v>
      </c>
      <c r="G65" s="12" t="n">
        <v>0.138888888888889</v>
      </c>
      <c r="H65" s="13" t="s">
        <v>17</v>
      </c>
      <c r="I65" s="10"/>
      <c r="J65" s="10" t="s">
        <v>314</v>
      </c>
      <c r="K65" s="14" t="n">
        <v>3</v>
      </c>
      <c r="L65" s="10" t="s">
        <v>315</v>
      </c>
    </row>
    <row r="66" customFormat="false" ht="46.25" hidden="false" customHeight="false" outlineLevel="0" collapsed="false">
      <c r="A66" s="10" t="s">
        <v>316</v>
      </c>
      <c r="B66" s="10" t="s">
        <v>242</v>
      </c>
      <c r="C66" s="10" t="s">
        <v>317</v>
      </c>
      <c r="D66" s="10" t="s">
        <v>63</v>
      </c>
      <c r="E66" s="11" t="n">
        <v>6</v>
      </c>
      <c r="F66" s="11" t="n">
        <v>4</v>
      </c>
      <c r="G66" s="12" t="n">
        <v>0.111111111111111</v>
      </c>
      <c r="H66" s="17" t="s">
        <v>27</v>
      </c>
      <c r="I66" s="10" t="s">
        <v>318</v>
      </c>
      <c r="J66" s="10" t="s">
        <v>319</v>
      </c>
      <c r="K66" s="18" t="n">
        <v>2</v>
      </c>
      <c r="L66" s="10" t="s">
        <v>245</v>
      </c>
    </row>
    <row r="67" customFormat="false" ht="46.25" hidden="false" customHeight="false" outlineLevel="0" collapsed="false">
      <c r="A67" s="10" t="s">
        <v>320</v>
      </c>
      <c r="B67" s="10" t="s">
        <v>242</v>
      </c>
      <c r="C67" s="10" t="s">
        <v>321</v>
      </c>
      <c r="D67" s="10" t="s">
        <v>63</v>
      </c>
      <c r="E67" s="11" t="n">
        <v>6</v>
      </c>
      <c r="F67" s="11" t="n">
        <v>6</v>
      </c>
      <c r="G67" s="12" t="n">
        <v>0.166666666666667</v>
      </c>
      <c r="H67" s="13" t="s">
        <v>17</v>
      </c>
      <c r="I67" s="10"/>
      <c r="J67" s="10" t="s">
        <v>322</v>
      </c>
      <c r="K67" s="14" t="n">
        <v>3</v>
      </c>
      <c r="L67" s="10" t="s">
        <v>323</v>
      </c>
    </row>
    <row r="68" customFormat="false" ht="46.25" hidden="false" customHeight="false" outlineLevel="0" collapsed="false">
      <c r="A68" s="10" t="s">
        <v>324</v>
      </c>
      <c r="B68" s="10" t="s">
        <v>242</v>
      </c>
      <c r="C68" s="10" t="s">
        <v>325</v>
      </c>
      <c r="D68" s="10" t="s">
        <v>63</v>
      </c>
      <c r="E68" s="11" t="n">
        <v>5</v>
      </c>
      <c r="F68" s="11" t="n">
        <v>4</v>
      </c>
      <c r="G68" s="12" t="n">
        <v>0.111111111111111</v>
      </c>
      <c r="H68" s="17" t="s">
        <v>27</v>
      </c>
      <c r="I68" s="10" t="s">
        <v>326</v>
      </c>
      <c r="J68" s="10" t="s">
        <v>327</v>
      </c>
      <c r="K68" s="18" t="n">
        <v>2</v>
      </c>
      <c r="L68" s="10" t="s">
        <v>328</v>
      </c>
    </row>
    <row r="69" customFormat="false" ht="57.45" hidden="false" customHeight="false" outlineLevel="0" collapsed="false">
      <c r="A69" s="10" t="s">
        <v>329</v>
      </c>
      <c r="B69" s="10" t="s">
        <v>242</v>
      </c>
      <c r="C69" s="10" t="s">
        <v>330</v>
      </c>
      <c r="D69" s="10" t="s">
        <v>63</v>
      </c>
      <c r="E69" s="11" t="n">
        <v>5</v>
      </c>
      <c r="F69" s="11" t="n">
        <v>4</v>
      </c>
      <c r="G69" s="12" t="n">
        <v>0.111111111111111</v>
      </c>
      <c r="H69" s="17" t="s">
        <v>27</v>
      </c>
      <c r="I69" s="10" t="s">
        <v>331</v>
      </c>
      <c r="J69" s="10" t="s">
        <v>332</v>
      </c>
      <c r="K69" s="18" t="n">
        <v>2</v>
      </c>
      <c r="L69" s="10" t="s">
        <v>252</v>
      </c>
    </row>
    <row r="70" customFormat="false" ht="46.25" hidden="false" customHeight="false" outlineLevel="0" collapsed="false">
      <c r="A70" s="10" t="s">
        <v>333</v>
      </c>
      <c r="B70" s="10" t="s">
        <v>242</v>
      </c>
      <c r="C70" s="10" t="s">
        <v>334</v>
      </c>
      <c r="D70" s="10" t="s">
        <v>63</v>
      </c>
      <c r="E70" s="11" t="n">
        <v>5</v>
      </c>
      <c r="F70" s="11" t="n">
        <v>4</v>
      </c>
      <c r="G70" s="12" t="n">
        <v>0.111111111111111</v>
      </c>
      <c r="H70" s="17" t="s">
        <v>27</v>
      </c>
      <c r="I70" s="10" t="s">
        <v>335</v>
      </c>
      <c r="J70" s="10" t="s">
        <v>336</v>
      </c>
      <c r="K70" s="18" t="n">
        <v>2</v>
      </c>
      <c r="L70" s="10" t="s">
        <v>245</v>
      </c>
    </row>
    <row r="71" customFormat="false" ht="46.25" hidden="false" customHeight="false" outlineLevel="0" collapsed="false">
      <c r="A71" s="10" t="s">
        <v>337</v>
      </c>
      <c r="B71" s="10" t="s">
        <v>242</v>
      </c>
      <c r="C71" s="10" t="s">
        <v>338</v>
      </c>
      <c r="D71" s="10" t="s">
        <v>63</v>
      </c>
      <c r="E71" s="11" t="n">
        <v>4</v>
      </c>
      <c r="F71" s="11" t="n">
        <v>4</v>
      </c>
      <c r="G71" s="12" t="n">
        <v>0.111111111111111</v>
      </c>
      <c r="H71" s="15" t="s">
        <v>19</v>
      </c>
      <c r="I71" s="10" t="s">
        <v>339</v>
      </c>
      <c r="J71" s="10" t="s">
        <v>340</v>
      </c>
      <c r="K71" s="16" t="n">
        <v>1</v>
      </c>
      <c r="L71" s="10" t="s">
        <v>341</v>
      </c>
    </row>
    <row r="72" customFormat="false" ht="46.25" hidden="false" customHeight="false" outlineLevel="0" collapsed="false">
      <c r="A72" s="10" t="s">
        <v>342</v>
      </c>
      <c r="B72" s="10" t="s">
        <v>242</v>
      </c>
      <c r="C72" s="10" t="s">
        <v>343</v>
      </c>
      <c r="D72" s="10" t="s">
        <v>63</v>
      </c>
      <c r="E72" s="11" t="n">
        <v>3</v>
      </c>
      <c r="F72" s="11" t="n">
        <v>3</v>
      </c>
      <c r="G72" s="12" t="n">
        <v>0.0833333333333333</v>
      </c>
      <c r="H72" s="13" t="s">
        <v>17</v>
      </c>
      <c r="I72" s="10"/>
      <c r="J72" s="10" t="s">
        <v>344</v>
      </c>
      <c r="K72" s="14" t="n">
        <v>3</v>
      </c>
      <c r="L72" s="10" t="s">
        <v>345</v>
      </c>
    </row>
    <row r="73" customFormat="false" ht="46.25" hidden="false" customHeight="false" outlineLevel="0" collapsed="false">
      <c r="A73" s="10" t="s">
        <v>346</v>
      </c>
      <c r="B73" s="10" t="s">
        <v>242</v>
      </c>
      <c r="C73" s="10" t="s">
        <v>347</v>
      </c>
      <c r="D73" s="10" t="s">
        <v>63</v>
      </c>
      <c r="E73" s="11" t="n">
        <v>3</v>
      </c>
      <c r="F73" s="11" t="n">
        <v>1</v>
      </c>
      <c r="G73" s="12" t="n">
        <v>0.0277777777777778</v>
      </c>
      <c r="H73" s="13" t="s">
        <v>17</v>
      </c>
      <c r="I73" s="10"/>
      <c r="J73" s="10" t="s">
        <v>348</v>
      </c>
      <c r="K73" s="14" t="n">
        <v>3</v>
      </c>
      <c r="L73" s="10" t="s">
        <v>349</v>
      </c>
    </row>
    <row r="74" customFormat="false" ht="46.25" hidden="false" customHeight="false" outlineLevel="0" collapsed="false">
      <c r="A74" s="10" t="s">
        <v>350</v>
      </c>
      <c r="B74" s="10" t="s">
        <v>242</v>
      </c>
      <c r="C74" s="10" t="s">
        <v>351</v>
      </c>
      <c r="D74" s="10" t="s">
        <v>63</v>
      </c>
      <c r="E74" s="11" t="n">
        <v>3</v>
      </c>
      <c r="F74" s="11" t="n">
        <v>2</v>
      </c>
      <c r="G74" s="12" t="n">
        <v>0.0555555555555556</v>
      </c>
      <c r="H74" s="13" t="s">
        <v>17</v>
      </c>
      <c r="I74" s="10"/>
      <c r="J74" s="10" t="s">
        <v>352</v>
      </c>
      <c r="K74" s="14" t="n">
        <v>3</v>
      </c>
      <c r="L74" s="10" t="s">
        <v>353</v>
      </c>
    </row>
    <row r="75" customFormat="false" ht="46.25" hidden="false" customHeight="false" outlineLevel="0" collapsed="false">
      <c r="A75" s="10" t="s">
        <v>354</v>
      </c>
      <c r="B75" s="10" t="s">
        <v>242</v>
      </c>
      <c r="C75" s="10" t="s">
        <v>355</v>
      </c>
      <c r="D75" s="10" t="s">
        <v>63</v>
      </c>
      <c r="E75" s="11" t="n">
        <v>3</v>
      </c>
      <c r="F75" s="11" t="n">
        <v>3</v>
      </c>
      <c r="G75" s="12" t="n">
        <v>0.0833333333333333</v>
      </c>
      <c r="H75" s="13" t="s">
        <v>17</v>
      </c>
      <c r="I75" s="10"/>
      <c r="J75" s="10" t="s">
        <v>356</v>
      </c>
      <c r="K75" s="14" t="n">
        <v>3</v>
      </c>
      <c r="L75" s="10" t="s">
        <v>357</v>
      </c>
    </row>
    <row r="76" customFormat="false" ht="23.85" hidden="false" customHeight="false" outlineLevel="0" collapsed="false">
      <c r="A76" s="10" t="s">
        <v>358</v>
      </c>
      <c r="B76" s="10" t="s">
        <v>242</v>
      </c>
      <c r="C76" s="10" t="s">
        <v>359</v>
      </c>
      <c r="D76" s="10" t="s">
        <v>63</v>
      </c>
      <c r="E76" s="11" t="n">
        <v>2</v>
      </c>
      <c r="F76" s="11" t="n">
        <v>1</v>
      </c>
      <c r="G76" s="12" t="n">
        <v>0.0277777777777778</v>
      </c>
      <c r="H76" s="15" t="s">
        <v>19</v>
      </c>
      <c r="I76" s="10" t="s">
        <v>360</v>
      </c>
      <c r="J76" s="10" t="s">
        <v>361</v>
      </c>
      <c r="K76" s="16" t="n">
        <v>1</v>
      </c>
      <c r="L76" s="10" t="s">
        <v>362</v>
      </c>
    </row>
    <row r="77" customFormat="false" ht="46.25" hidden="false" customHeight="false" outlineLevel="0" collapsed="false">
      <c r="A77" s="10" t="s">
        <v>363</v>
      </c>
      <c r="B77" s="10" t="s">
        <v>242</v>
      </c>
      <c r="C77" s="10" t="s">
        <v>364</v>
      </c>
      <c r="D77" s="10" t="s">
        <v>63</v>
      </c>
      <c r="E77" s="11" t="n">
        <v>2</v>
      </c>
      <c r="F77" s="11" t="n">
        <v>1</v>
      </c>
      <c r="G77" s="12" t="n">
        <v>0.0277777777777778</v>
      </c>
      <c r="H77" s="17" t="s">
        <v>27</v>
      </c>
      <c r="I77" s="10" t="s">
        <v>365</v>
      </c>
      <c r="J77" s="10" t="s">
        <v>366</v>
      </c>
      <c r="K77" s="18" t="n">
        <v>2</v>
      </c>
      <c r="L77" s="10" t="s">
        <v>367</v>
      </c>
    </row>
    <row r="78" customFormat="false" ht="35.05" hidden="false" customHeight="false" outlineLevel="0" collapsed="false">
      <c r="A78" s="10" t="s">
        <v>368</v>
      </c>
      <c r="B78" s="10" t="s">
        <v>242</v>
      </c>
      <c r="C78" s="10" t="s">
        <v>369</v>
      </c>
      <c r="D78" s="10" t="s">
        <v>63</v>
      </c>
      <c r="E78" s="11" t="n">
        <v>2</v>
      </c>
      <c r="F78" s="11" t="n">
        <v>1</v>
      </c>
      <c r="G78" s="12" t="n">
        <v>0.0277777777777778</v>
      </c>
      <c r="H78" s="13" t="s">
        <v>17</v>
      </c>
      <c r="I78" s="10"/>
      <c r="J78" s="10" t="s">
        <v>370</v>
      </c>
      <c r="K78" s="18" t="n">
        <v>2</v>
      </c>
      <c r="L78" s="10" t="s">
        <v>371</v>
      </c>
    </row>
    <row r="79" customFormat="false" ht="46.25" hidden="false" customHeight="false" outlineLevel="0" collapsed="false">
      <c r="A79" s="10" t="s">
        <v>372</v>
      </c>
      <c r="B79" s="10" t="s">
        <v>242</v>
      </c>
      <c r="C79" s="10" t="s">
        <v>373</v>
      </c>
      <c r="D79" s="10" t="s">
        <v>63</v>
      </c>
      <c r="E79" s="11" t="n">
        <v>1</v>
      </c>
      <c r="F79" s="11" t="n">
        <v>1</v>
      </c>
      <c r="G79" s="12" t="n">
        <v>0.0277777777777778</v>
      </c>
      <c r="H79" s="15" t="s">
        <v>19</v>
      </c>
      <c r="I79" s="10" t="s">
        <v>374</v>
      </c>
      <c r="J79" s="10" t="s">
        <v>375</v>
      </c>
      <c r="K79" s="16" t="n">
        <v>1</v>
      </c>
      <c r="L79" s="10" t="s">
        <v>376</v>
      </c>
    </row>
    <row r="80" customFormat="false" ht="46.25" hidden="false" customHeight="false" outlineLevel="0" collapsed="false">
      <c r="A80" s="10" t="s">
        <v>377</v>
      </c>
      <c r="B80" s="10" t="s">
        <v>242</v>
      </c>
      <c r="C80" s="10" t="s">
        <v>378</v>
      </c>
      <c r="D80" s="10" t="s">
        <v>63</v>
      </c>
      <c r="E80" s="11" t="n">
        <v>1</v>
      </c>
      <c r="F80" s="11" t="n">
        <v>1</v>
      </c>
      <c r="G80" s="12" t="n">
        <v>0.0277777777777778</v>
      </c>
      <c r="H80" s="13" t="s">
        <v>17</v>
      </c>
      <c r="I80" s="10"/>
      <c r="J80" s="10" t="s">
        <v>379</v>
      </c>
      <c r="K80" s="18" t="n">
        <v>2</v>
      </c>
      <c r="L80" s="10" t="s">
        <v>380</v>
      </c>
    </row>
    <row r="81" customFormat="false" ht="35.05" hidden="false" customHeight="false" outlineLevel="0" collapsed="false">
      <c r="A81" s="10" t="s">
        <v>381</v>
      </c>
      <c r="B81" s="10" t="s">
        <v>242</v>
      </c>
      <c r="C81" s="10" t="s">
        <v>382</v>
      </c>
      <c r="D81" s="10" t="s">
        <v>63</v>
      </c>
      <c r="E81" s="11" t="n">
        <v>1</v>
      </c>
      <c r="F81" s="11" t="n">
        <v>1</v>
      </c>
      <c r="G81" s="12" t="n">
        <v>0.0277777777777778</v>
      </c>
      <c r="H81" s="19" t="s">
        <v>21</v>
      </c>
      <c r="I81" s="10" t="s">
        <v>346</v>
      </c>
      <c r="J81" s="10" t="s">
        <v>383</v>
      </c>
      <c r="K81" s="16" t="n">
        <v>1</v>
      </c>
      <c r="L81" s="10" t="s">
        <v>384</v>
      </c>
    </row>
    <row r="82" customFormat="false" ht="46.25" hidden="false" customHeight="false" outlineLevel="0" collapsed="false">
      <c r="A82" s="10" t="s">
        <v>385</v>
      </c>
      <c r="B82" s="10" t="s">
        <v>242</v>
      </c>
      <c r="C82" s="10" t="s">
        <v>386</v>
      </c>
      <c r="D82" s="10" t="s">
        <v>63</v>
      </c>
      <c r="E82" s="11" t="n">
        <v>1</v>
      </c>
      <c r="F82" s="11" t="n">
        <v>1</v>
      </c>
      <c r="G82" s="12" t="n">
        <v>0.0277777777777778</v>
      </c>
      <c r="H82" s="13" t="s">
        <v>17</v>
      </c>
      <c r="I82" s="10"/>
      <c r="J82" s="10" t="s">
        <v>387</v>
      </c>
      <c r="K82" s="18" t="n">
        <v>2</v>
      </c>
      <c r="L82" s="10" t="s">
        <v>388</v>
      </c>
    </row>
    <row r="83" customFormat="false" ht="35.05" hidden="false" customHeight="false" outlineLevel="0" collapsed="false">
      <c r="A83" s="10" t="s">
        <v>389</v>
      </c>
      <c r="B83" s="10" t="s">
        <v>242</v>
      </c>
      <c r="C83" s="10" t="s">
        <v>390</v>
      </c>
      <c r="D83" s="10" t="s">
        <v>63</v>
      </c>
      <c r="E83" s="11" t="n">
        <v>1</v>
      </c>
      <c r="F83" s="11" t="n">
        <v>1</v>
      </c>
      <c r="G83" s="12" t="n">
        <v>0.0277777777777778</v>
      </c>
      <c r="H83" s="13" t="s">
        <v>17</v>
      </c>
      <c r="I83" s="10"/>
      <c r="J83" s="10" t="s">
        <v>391</v>
      </c>
      <c r="K83" s="18" t="n">
        <v>2</v>
      </c>
      <c r="L83" s="10" t="s">
        <v>392</v>
      </c>
    </row>
    <row r="84" customFormat="false" ht="46.25" hidden="false" customHeight="false" outlineLevel="0" collapsed="false">
      <c r="A84" s="10" t="s">
        <v>393</v>
      </c>
      <c r="B84" s="10" t="s">
        <v>242</v>
      </c>
      <c r="C84" s="10" t="s">
        <v>394</v>
      </c>
      <c r="D84" s="10" t="s">
        <v>63</v>
      </c>
      <c r="E84" s="11" t="n">
        <v>1</v>
      </c>
      <c r="F84" s="11" t="n">
        <v>1</v>
      </c>
      <c r="G84" s="12" t="n">
        <v>0.0277777777777778</v>
      </c>
      <c r="H84" s="13" t="s">
        <v>17</v>
      </c>
      <c r="I84" s="10"/>
      <c r="J84" s="10" t="s">
        <v>395</v>
      </c>
      <c r="K84" s="18" t="n">
        <v>2</v>
      </c>
      <c r="L84" s="10" t="s">
        <v>396</v>
      </c>
    </row>
    <row r="85" customFormat="false" ht="23.85" hidden="false" customHeight="false" outlineLevel="0" collapsed="false">
      <c r="A85" s="10" t="s">
        <v>397</v>
      </c>
      <c r="B85" s="10" t="s">
        <v>242</v>
      </c>
      <c r="C85" s="10" t="s">
        <v>398</v>
      </c>
      <c r="D85" s="10" t="s">
        <v>63</v>
      </c>
      <c r="E85" s="11" t="n">
        <v>1</v>
      </c>
      <c r="F85" s="11" t="n">
        <v>1</v>
      </c>
      <c r="G85" s="12" t="n">
        <v>0.0277777777777778</v>
      </c>
      <c r="H85" s="19" t="s">
        <v>21</v>
      </c>
      <c r="I85" s="10" t="s">
        <v>298</v>
      </c>
      <c r="J85" s="10" t="s">
        <v>399</v>
      </c>
      <c r="K85" s="16" t="n">
        <v>1</v>
      </c>
      <c r="L85" s="10" t="s">
        <v>400</v>
      </c>
    </row>
    <row r="86" customFormat="false" ht="46.25" hidden="false" customHeight="false" outlineLevel="0" collapsed="false">
      <c r="A86" s="10" t="s">
        <v>401</v>
      </c>
      <c r="B86" s="10" t="s">
        <v>242</v>
      </c>
      <c r="C86" s="10" t="s">
        <v>402</v>
      </c>
      <c r="D86" s="10" t="s">
        <v>63</v>
      </c>
      <c r="E86" s="11" t="n">
        <v>1</v>
      </c>
      <c r="F86" s="11" t="n">
        <v>1</v>
      </c>
      <c r="G86" s="12" t="n">
        <v>0.0277777777777778</v>
      </c>
      <c r="H86" s="13" t="s">
        <v>17</v>
      </c>
      <c r="I86" s="10"/>
      <c r="J86" s="10" t="s">
        <v>403</v>
      </c>
      <c r="K86" s="18" t="n">
        <v>2</v>
      </c>
      <c r="L86" s="10" t="s">
        <v>404</v>
      </c>
    </row>
    <row r="87" customFormat="false" ht="46.25" hidden="false" customHeight="false" outlineLevel="0" collapsed="false">
      <c r="A87" s="10" t="s">
        <v>405</v>
      </c>
      <c r="B87" s="10" t="s">
        <v>406</v>
      </c>
      <c r="C87" s="10" t="s">
        <v>407</v>
      </c>
      <c r="D87" s="10" t="s">
        <v>63</v>
      </c>
      <c r="E87" s="11" t="n">
        <v>192</v>
      </c>
      <c r="F87" s="11" t="n">
        <v>32</v>
      </c>
      <c r="G87" s="12" t="n">
        <v>0.888888888888889</v>
      </c>
      <c r="H87" s="17" t="s">
        <v>27</v>
      </c>
      <c r="I87" s="10" t="s">
        <v>408</v>
      </c>
      <c r="J87" s="10" t="s">
        <v>409</v>
      </c>
      <c r="K87" s="16" t="n">
        <v>1</v>
      </c>
      <c r="L87" s="10" t="s">
        <v>410</v>
      </c>
    </row>
    <row r="88" customFormat="false" ht="46.25" hidden="false" customHeight="false" outlineLevel="0" collapsed="false">
      <c r="A88" s="10" t="s">
        <v>411</v>
      </c>
      <c r="B88" s="10" t="s">
        <v>406</v>
      </c>
      <c r="C88" s="10" t="s">
        <v>412</v>
      </c>
      <c r="D88" s="10" t="s">
        <v>63</v>
      </c>
      <c r="E88" s="11" t="n">
        <v>63</v>
      </c>
      <c r="F88" s="11" t="n">
        <v>25</v>
      </c>
      <c r="G88" s="12" t="n">
        <v>0.694444444444444</v>
      </c>
      <c r="H88" s="13" t="s">
        <v>17</v>
      </c>
      <c r="I88" s="10"/>
      <c r="J88" s="10" t="s">
        <v>413</v>
      </c>
      <c r="K88" s="14" t="n">
        <v>3</v>
      </c>
      <c r="L88" s="10" t="s">
        <v>414</v>
      </c>
    </row>
    <row r="89" customFormat="false" ht="46.25" hidden="false" customHeight="false" outlineLevel="0" collapsed="false">
      <c r="A89" s="10" t="s">
        <v>415</v>
      </c>
      <c r="B89" s="10" t="s">
        <v>406</v>
      </c>
      <c r="C89" s="10" t="s">
        <v>416</v>
      </c>
      <c r="D89" s="10" t="s">
        <v>63</v>
      </c>
      <c r="E89" s="11" t="n">
        <v>62</v>
      </c>
      <c r="F89" s="11" t="n">
        <v>22</v>
      </c>
      <c r="G89" s="12" t="n">
        <v>0.611111111111111</v>
      </c>
      <c r="H89" s="13" t="s">
        <v>17</v>
      </c>
      <c r="I89" s="10"/>
      <c r="J89" s="10" t="s">
        <v>293</v>
      </c>
      <c r="K89" s="14" t="n">
        <v>3</v>
      </c>
      <c r="L89" s="10" t="s">
        <v>417</v>
      </c>
    </row>
    <row r="90" customFormat="false" ht="46.25" hidden="false" customHeight="false" outlineLevel="0" collapsed="false">
      <c r="A90" s="10" t="s">
        <v>418</v>
      </c>
      <c r="B90" s="10" t="s">
        <v>406</v>
      </c>
      <c r="C90" s="10" t="s">
        <v>419</v>
      </c>
      <c r="D90" s="10" t="s">
        <v>63</v>
      </c>
      <c r="E90" s="11" t="n">
        <v>59</v>
      </c>
      <c r="F90" s="11" t="n">
        <v>22</v>
      </c>
      <c r="G90" s="12" t="n">
        <v>0.611111111111111</v>
      </c>
      <c r="H90" s="13" t="s">
        <v>17</v>
      </c>
      <c r="I90" s="10"/>
      <c r="J90" s="10" t="s">
        <v>293</v>
      </c>
      <c r="K90" s="14" t="n">
        <v>3</v>
      </c>
      <c r="L90" s="10" t="s">
        <v>414</v>
      </c>
    </row>
    <row r="91" customFormat="false" ht="46.25" hidden="false" customHeight="false" outlineLevel="0" collapsed="false">
      <c r="A91" s="10" t="s">
        <v>420</v>
      </c>
      <c r="B91" s="10" t="s">
        <v>406</v>
      </c>
      <c r="C91" s="10" t="s">
        <v>421</v>
      </c>
      <c r="D91" s="10" t="s">
        <v>63</v>
      </c>
      <c r="E91" s="11" t="n">
        <v>51</v>
      </c>
      <c r="F91" s="11" t="n">
        <v>15</v>
      </c>
      <c r="G91" s="12" t="n">
        <v>0.416666666666667</v>
      </c>
      <c r="H91" s="13" t="s">
        <v>17</v>
      </c>
      <c r="I91" s="10"/>
      <c r="J91" s="10" t="s">
        <v>422</v>
      </c>
      <c r="K91" s="14" t="n">
        <v>3</v>
      </c>
      <c r="L91" s="10" t="s">
        <v>245</v>
      </c>
    </row>
    <row r="92" customFormat="false" ht="46.25" hidden="false" customHeight="false" outlineLevel="0" collapsed="false">
      <c r="A92" s="10" t="s">
        <v>423</v>
      </c>
      <c r="B92" s="10" t="s">
        <v>406</v>
      </c>
      <c r="C92" s="10" t="s">
        <v>424</v>
      </c>
      <c r="D92" s="10" t="s">
        <v>63</v>
      </c>
      <c r="E92" s="11" t="n">
        <v>41</v>
      </c>
      <c r="F92" s="11" t="n">
        <v>16</v>
      </c>
      <c r="G92" s="12" t="n">
        <v>0.444444444444444</v>
      </c>
      <c r="H92" s="13" t="s">
        <v>17</v>
      </c>
      <c r="I92" s="10"/>
      <c r="J92" s="10" t="s">
        <v>293</v>
      </c>
      <c r="K92" s="14" t="n">
        <v>3</v>
      </c>
      <c r="L92" s="10" t="s">
        <v>353</v>
      </c>
    </row>
    <row r="93" customFormat="false" ht="46.25" hidden="false" customHeight="false" outlineLevel="0" collapsed="false">
      <c r="A93" s="10" t="s">
        <v>425</v>
      </c>
      <c r="B93" s="10" t="s">
        <v>406</v>
      </c>
      <c r="C93" s="10" t="s">
        <v>426</v>
      </c>
      <c r="D93" s="10" t="s">
        <v>63</v>
      </c>
      <c r="E93" s="11" t="n">
        <v>29</v>
      </c>
      <c r="F93" s="11" t="n">
        <v>11</v>
      </c>
      <c r="G93" s="12" t="n">
        <v>0.305555555555556</v>
      </c>
      <c r="H93" s="13" t="s">
        <v>17</v>
      </c>
      <c r="I93" s="10"/>
      <c r="J93" s="10" t="s">
        <v>293</v>
      </c>
      <c r="K93" s="14" t="n">
        <v>3</v>
      </c>
      <c r="L93" s="10" t="s">
        <v>245</v>
      </c>
    </row>
    <row r="94" customFormat="false" ht="46.25" hidden="false" customHeight="false" outlineLevel="0" collapsed="false">
      <c r="A94" s="10" t="s">
        <v>427</v>
      </c>
      <c r="B94" s="10" t="s">
        <v>406</v>
      </c>
      <c r="C94" s="10" t="s">
        <v>428</v>
      </c>
      <c r="D94" s="10" t="s">
        <v>63</v>
      </c>
      <c r="E94" s="11" t="n">
        <v>27</v>
      </c>
      <c r="F94" s="11" t="n">
        <v>14</v>
      </c>
      <c r="G94" s="12" t="n">
        <v>0.388888888888889</v>
      </c>
      <c r="H94" s="13" t="s">
        <v>17</v>
      </c>
      <c r="I94" s="10"/>
      <c r="J94" s="10" t="s">
        <v>293</v>
      </c>
      <c r="K94" s="14" t="n">
        <v>3</v>
      </c>
      <c r="L94" s="10" t="s">
        <v>429</v>
      </c>
    </row>
    <row r="95" customFormat="false" ht="46.25" hidden="false" customHeight="false" outlineLevel="0" collapsed="false">
      <c r="A95" s="10" t="s">
        <v>430</v>
      </c>
      <c r="B95" s="10" t="s">
        <v>406</v>
      </c>
      <c r="C95" s="10" t="s">
        <v>431</v>
      </c>
      <c r="D95" s="10" t="s">
        <v>63</v>
      </c>
      <c r="E95" s="11" t="n">
        <v>11</v>
      </c>
      <c r="F95" s="11" t="n">
        <v>2</v>
      </c>
      <c r="G95" s="12" t="n">
        <v>0.0555555555555556</v>
      </c>
      <c r="H95" s="17" t="s">
        <v>27</v>
      </c>
      <c r="I95" s="10" t="s">
        <v>432</v>
      </c>
      <c r="J95" s="10" t="s">
        <v>433</v>
      </c>
      <c r="K95" s="18" t="n">
        <v>2</v>
      </c>
      <c r="L95" s="10" t="s">
        <v>434</v>
      </c>
    </row>
    <row r="96" customFormat="false" ht="46.25" hidden="false" customHeight="false" outlineLevel="0" collapsed="false">
      <c r="A96" s="10" t="s">
        <v>435</v>
      </c>
      <c r="B96" s="10" t="s">
        <v>406</v>
      </c>
      <c r="C96" s="10" t="s">
        <v>436</v>
      </c>
      <c r="D96" s="10" t="s">
        <v>63</v>
      </c>
      <c r="E96" s="11" t="n">
        <v>5</v>
      </c>
      <c r="F96" s="11" t="n">
        <v>3</v>
      </c>
      <c r="G96" s="12" t="n">
        <v>0.0833333333333333</v>
      </c>
      <c r="H96" s="13" t="s">
        <v>17</v>
      </c>
      <c r="I96" s="10"/>
      <c r="J96" s="10" t="s">
        <v>293</v>
      </c>
      <c r="K96" s="14" t="n">
        <v>3</v>
      </c>
      <c r="L96" s="10" t="s">
        <v>437</v>
      </c>
    </row>
    <row r="97" customFormat="false" ht="46.25" hidden="false" customHeight="false" outlineLevel="0" collapsed="false">
      <c r="A97" s="10" t="s">
        <v>438</v>
      </c>
      <c r="B97" s="10" t="s">
        <v>406</v>
      </c>
      <c r="C97" s="10" t="s">
        <v>439</v>
      </c>
      <c r="D97" s="10" t="s">
        <v>63</v>
      </c>
      <c r="E97" s="11" t="n">
        <v>2</v>
      </c>
      <c r="F97" s="11" t="n">
        <v>2</v>
      </c>
      <c r="G97" s="12" t="n">
        <v>0.0555555555555556</v>
      </c>
      <c r="H97" s="19" t="s">
        <v>21</v>
      </c>
      <c r="I97" s="10" t="s">
        <v>425</v>
      </c>
      <c r="J97" s="10" t="s">
        <v>440</v>
      </c>
      <c r="K97" s="16" t="n">
        <v>1</v>
      </c>
      <c r="L97" s="10" t="s">
        <v>441</v>
      </c>
    </row>
    <row r="98" customFormat="false" ht="46.25" hidden="false" customHeight="false" outlineLevel="0" collapsed="false">
      <c r="A98" s="10" t="s">
        <v>442</v>
      </c>
      <c r="B98" s="10" t="s">
        <v>406</v>
      </c>
      <c r="C98" s="10" t="s">
        <v>443</v>
      </c>
      <c r="D98" s="10" t="s">
        <v>63</v>
      </c>
      <c r="E98" s="11" t="n">
        <v>2</v>
      </c>
      <c r="F98" s="11" t="n">
        <v>2</v>
      </c>
      <c r="G98" s="12" t="n">
        <v>0.0555555555555556</v>
      </c>
      <c r="H98" s="19" t="s">
        <v>21</v>
      </c>
      <c r="I98" s="10" t="s">
        <v>420</v>
      </c>
      <c r="J98" s="10" t="s">
        <v>444</v>
      </c>
      <c r="K98" s="16" t="n">
        <v>1</v>
      </c>
      <c r="L98" s="10" t="s">
        <v>445</v>
      </c>
    </row>
    <row r="99" customFormat="false" ht="46.25" hidden="false" customHeight="false" outlineLevel="0" collapsed="false">
      <c r="A99" s="10" t="s">
        <v>446</v>
      </c>
      <c r="B99" s="10" t="s">
        <v>406</v>
      </c>
      <c r="C99" s="10" t="s">
        <v>447</v>
      </c>
      <c r="D99" s="10" t="s">
        <v>63</v>
      </c>
      <c r="E99" s="11" t="n">
        <v>1</v>
      </c>
      <c r="F99" s="11" t="n">
        <v>1</v>
      </c>
      <c r="G99" s="12" t="n">
        <v>0.0277777777777778</v>
      </c>
      <c r="H99" s="19" t="s">
        <v>21</v>
      </c>
      <c r="I99" s="10" t="s">
        <v>427</v>
      </c>
      <c r="J99" s="10" t="s">
        <v>448</v>
      </c>
      <c r="K99" s="16" t="n">
        <v>1</v>
      </c>
      <c r="L99" s="10" t="s">
        <v>449</v>
      </c>
    </row>
    <row r="100" customFormat="false" ht="46.25" hidden="false" customHeight="false" outlineLevel="0" collapsed="false">
      <c r="A100" s="10" t="s">
        <v>450</v>
      </c>
      <c r="B100" s="10" t="s">
        <v>451</v>
      </c>
      <c r="C100" s="10" t="s">
        <v>452</v>
      </c>
      <c r="D100" s="10" t="s">
        <v>63</v>
      </c>
      <c r="E100" s="11" t="n">
        <v>77</v>
      </c>
      <c r="F100" s="11" t="n">
        <v>21</v>
      </c>
      <c r="G100" s="12" t="n">
        <v>0.583333333333333</v>
      </c>
      <c r="H100" s="13" t="s">
        <v>17</v>
      </c>
      <c r="I100" s="10"/>
      <c r="J100" s="10" t="s">
        <v>453</v>
      </c>
      <c r="K100" s="14" t="n">
        <v>3</v>
      </c>
      <c r="L100" s="10" t="s">
        <v>454</v>
      </c>
    </row>
    <row r="101" customFormat="false" ht="46.25" hidden="false" customHeight="false" outlineLevel="0" collapsed="false">
      <c r="A101" s="10" t="s">
        <v>455</v>
      </c>
      <c r="B101" s="10" t="s">
        <v>451</v>
      </c>
      <c r="C101" s="10" t="s">
        <v>456</v>
      </c>
      <c r="D101" s="10" t="s">
        <v>63</v>
      </c>
      <c r="E101" s="11" t="n">
        <v>16</v>
      </c>
      <c r="F101" s="11" t="n">
        <v>7</v>
      </c>
      <c r="G101" s="12" t="n">
        <v>0.194444444444444</v>
      </c>
      <c r="H101" s="13" t="s">
        <v>17</v>
      </c>
      <c r="I101" s="10"/>
      <c r="J101" s="10" t="s">
        <v>251</v>
      </c>
      <c r="K101" s="14" t="n">
        <v>3</v>
      </c>
      <c r="L101" s="10" t="s">
        <v>457</v>
      </c>
    </row>
    <row r="102" customFormat="false" ht="46.25" hidden="false" customHeight="false" outlineLevel="0" collapsed="false">
      <c r="A102" s="10" t="s">
        <v>458</v>
      </c>
      <c r="B102" s="10" t="s">
        <v>451</v>
      </c>
      <c r="C102" s="10" t="s">
        <v>459</v>
      </c>
      <c r="D102" s="10" t="s">
        <v>63</v>
      </c>
      <c r="E102" s="11" t="n">
        <v>12</v>
      </c>
      <c r="F102" s="11" t="n">
        <v>9</v>
      </c>
      <c r="G102" s="12" t="n">
        <v>0.25</v>
      </c>
      <c r="H102" s="13" t="s">
        <v>17</v>
      </c>
      <c r="I102" s="10"/>
      <c r="J102" s="10" t="s">
        <v>293</v>
      </c>
      <c r="K102" s="14" t="n">
        <v>3</v>
      </c>
      <c r="L102" s="10" t="s">
        <v>460</v>
      </c>
    </row>
    <row r="103" customFormat="false" ht="46.25" hidden="false" customHeight="false" outlineLevel="0" collapsed="false">
      <c r="A103" s="10" t="s">
        <v>461</v>
      </c>
      <c r="B103" s="10" t="s">
        <v>451</v>
      </c>
      <c r="C103" s="10" t="s">
        <v>462</v>
      </c>
      <c r="D103" s="10" t="s">
        <v>63</v>
      </c>
      <c r="E103" s="11" t="n">
        <v>10</v>
      </c>
      <c r="F103" s="11" t="n">
        <v>6</v>
      </c>
      <c r="G103" s="12" t="n">
        <v>0.166666666666667</v>
      </c>
      <c r="H103" s="13" t="s">
        <v>17</v>
      </c>
      <c r="I103" s="10"/>
      <c r="J103" s="10" t="s">
        <v>293</v>
      </c>
      <c r="K103" s="14" t="n">
        <v>3</v>
      </c>
      <c r="L103" s="10" t="s">
        <v>463</v>
      </c>
    </row>
    <row r="104" customFormat="false" ht="46.25" hidden="false" customHeight="false" outlineLevel="0" collapsed="false">
      <c r="A104" s="10" t="s">
        <v>464</v>
      </c>
      <c r="B104" s="10" t="s">
        <v>451</v>
      </c>
      <c r="C104" s="10" t="s">
        <v>465</v>
      </c>
      <c r="D104" s="10" t="s">
        <v>63</v>
      </c>
      <c r="E104" s="11" t="n">
        <v>3</v>
      </c>
      <c r="F104" s="11" t="n">
        <v>2</v>
      </c>
      <c r="G104" s="12" t="n">
        <v>0.0555555555555556</v>
      </c>
      <c r="H104" s="13" t="s">
        <v>17</v>
      </c>
      <c r="I104" s="10"/>
      <c r="J104" s="10" t="s">
        <v>251</v>
      </c>
      <c r="K104" s="14" t="n">
        <v>3</v>
      </c>
      <c r="L104" s="10" t="s">
        <v>466</v>
      </c>
    </row>
    <row r="105" customFormat="false" ht="46.25" hidden="false" customHeight="false" outlineLevel="0" collapsed="false">
      <c r="A105" s="10" t="s">
        <v>467</v>
      </c>
      <c r="B105" s="10" t="s">
        <v>451</v>
      </c>
      <c r="C105" s="10" t="s">
        <v>468</v>
      </c>
      <c r="D105" s="10" t="s">
        <v>63</v>
      </c>
      <c r="E105" s="11" t="n">
        <v>3</v>
      </c>
      <c r="F105" s="11" t="n">
        <v>1</v>
      </c>
      <c r="G105" s="12" t="n">
        <v>0.0277777777777778</v>
      </c>
      <c r="H105" s="13" t="s">
        <v>17</v>
      </c>
      <c r="I105" s="10"/>
      <c r="J105" s="10" t="s">
        <v>469</v>
      </c>
      <c r="K105" s="14" t="n">
        <v>3</v>
      </c>
      <c r="L105" s="10" t="s">
        <v>470</v>
      </c>
    </row>
    <row r="106" customFormat="false" ht="46.25" hidden="false" customHeight="false" outlineLevel="0" collapsed="false">
      <c r="A106" s="10" t="s">
        <v>471</v>
      </c>
      <c r="B106" s="10" t="s">
        <v>451</v>
      </c>
      <c r="C106" s="10" t="s">
        <v>472</v>
      </c>
      <c r="D106" s="10" t="s">
        <v>63</v>
      </c>
      <c r="E106" s="11" t="n">
        <v>2</v>
      </c>
      <c r="F106" s="11" t="n">
        <v>2</v>
      </c>
      <c r="G106" s="12" t="n">
        <v>0.0555555555555556</v>
      </c>
      <c r="H106" s="13" t="s">
        <v>17</v>
      </c>
      <c r="I106" s="10"/>
      <c r="J106" s="10" t="s">
        <v>473</v>
      </c>
      <c r="K106" s="14" t="n">
        <v>3</v>
      </c>
      <c r="L106" s="10" t="s">
        <v>466</v>
      </c>
    </row>
    <row r="107" customFormat="false" ht="35.05" hidden="false" customHeight="false" outlineLevel="0" collapsed="false">
      <c r="A107" s="10" t="s">
        <v>474</v>
      </c>
      <c r="B107" s="10" t="s">
        <v>451</v>
      </c>
      <c r="C107" s="10" t="s">
        <v>475</v>
      </c>
      <c r="D107" s="10" t="s">
        <v>63</v>
      </c>
      <c r="E107" s="11" t="n">
        <v>1</v>
      </c>
      <c r="F107" s="11" t="n">
        <v>1</v>
      </c>
      <c r="G107" s="12" t="n">
        <v>0.0277777777777778</v>
      </c>
      <c r="H107" s="13" t="s">
        <v>17</v>
      </c>
      <c r="I107" s="10"/>
      <c r="J107" s="10" t="s">
        <v>476</v>
      </c>
      <c r="K107" s="18" t="n">
        <v>2</v>
      </c>
      <c r="L107" s="10" t="s">
        <v>477</v>
      </c>
    </row>
    <row r="108" customFormat="false" ht="23.85" hidden="false" customHeight="false" outlineLevel="0" collapsed="false">
      <c r="A108" s="10" t="s">
        <v>478</v>
      </c>
      <c r="B108" s="10" t="s">
        <v>451</v>
      </c>
      <c r="C108" s="10" t="s">
        <v>479</v>
      </c>
      <c r="D108" s="10" t="s">
        <v>63</v>
      </c>
      <c r="E108" s="11" t="n">
        <v>1</v>
      </c>
      <c r="F108" s="11" t="n">
        <v>1</v>
      </c>
      <c r="G108" s="12" t="n">
        <v>0.0277777777777778</v>
      </c>
      <c r="H108" s="20" t="s">
        <v>25</v>
      </c>
      <c r="I108" s="10"/>
      <c r="J108" s="10" t="s">
        <v>480</v>
      </c>
      <c r="K108" s="16" t="n">
        <v>1</v>
      </c>
      <c r="L108" s="10" t="s">
        <v>481</v>
      </c>
    </row>
    <row r="109" customFormat="false" ht="46.25" hidden="false" customHeight="false" outlineLevel="0" collapsed="false">
      <c r="A109" s="10" t="s">
        <v>482</v>
      </c>
      <c r="B109" s="10" t="s">
        <v>451</v>
      </c>
      <c r="C109" s="10" t="s">
        <v>483</v>
      </c>
      <c r="D109" s="10" t="s">
        <v>63</v>
      </c>
      <c r="E109" s="11" t="n">
        <v>1</v>
      </c>
      <c r="F109" s="11" t="n">
        <v>1</v>
      </c>
      <c r="G109" s="12" t="n">
        <v>0.0277777777777778</v>
      </c>
      <c r="H109" s="19" t="s">
        <v>21</v>
      </c>
      <c r="I109" s="10" t="s">
        <v>461</v>
      </c>
      <c r="J109" s="10" t="s">
        <v>484</v>
      </c>
      <c r="K109" s="18" t="n">
        <v>2</v>
      </c>
      <c r="L109" s="10" t="s">
        <v>485</v>
      </c>
    </row>
    <row r="110" customFormat="false" ht="35.05" hidden="false" customHeight="false" outlineLevel="0" collapsed="false">
      <c r="A110" s="10" t="s">
        <v>486</v>
      </c>
      <c r="B110" s="10" t="s">
        <v>451</v>
      </c>
      <c r="C110" s="10" t="s">
        <v>487</v>
      </c>
      <c r="D110" s="10" t="s">
        <v>63</v>
      </c>
      <c r="E110" s="11" t="n">
        <v>1</v>
      </c>
      <c r="F110" s="11" t="n">
        <v>1</v>
      </c>
      <c r="G110" s="12" t="n">
        <v>0.0277777777777778</v>
      </c>
      <c r="H110" s="13" t="s">
        <v>17</v>
      </c>
      <c r="I110" s="10"/>
      <c r="J110" s="10" t="s">
        <v>488</v>
      </c>
      <c r="K110" s="18" t="n">
        <v>2</v>
      </c>
      <c r="L110" s="10" t="s">
        <v>489</v>
      </c>
    </row>
    <row r="111" customFormat="false" ht="46.25" hidden="false" customHeight="false" outlineLevel="0" collapsed="false">
      <c r="A111" s="10" t="s">
        <v>490</v>
      </c>
      <c r="B111" s="10" t="s">
        <v>451</v>
      </c>
      <c r="C111" s="10" t="s">
        <v>491</v>
      </c>
      <c r="D111" s="10" t="s">
        <v>63</v>
      </c>
      <c r="E111" s="11" t="n">
        <v>1</v>
      </c>
      <c r="F111" s="11" t="n">
        <v>1</v>
      </c>
      <c r="G111" s="12" t="n">
        <v>0.0277777777777778</v>
      </c>
      <c r="H111" s="13" t="s">
        <v>17</v>
      </c>
      <c r="I111" s="10"/>
      <c r="J111" s="10" t="s">
        <v>492</v>
      </c>
      <c r="K111" s="18" t="n">
        <v>2</v>
      </c>
      <c r="L111" s="10" t="s">
        <v>493</v>
      </c>
    </row>
    <row r="112" customFormat="false" ht="46.25" hidden="false" customHeight="false" outlineLevel="0" collapsed="false">
      <c r="A112" s="10" t="s">
        <v>494</v>
      </c>
      <c r="B112" s="10" t="s">
        <v>451</v>
      </c>
      <c r="C112" s="10" t="s">
        <v>495</v>
      </c>
      <c r="D112" s="10" t="s">
        <v>63</v>
      </c>
      <c r="E112" s="11" t="n">
        <v>1</v>
      </c>
      <c r="F112" s="11" t="n">
        <v>1</v>
      </c>
      <c r="G112" s="12" t="n">
        <v>0.0277777777777778</v>
      </c>
      <c r="H112" s="13" t="s">
        <v>17</v>
      </c>
      <c r="I112" s="10"/>
      <c r="J112" s="10" t="s">
        <v>496</v>
      </c>
      <c r="K112" s="18" t="n">
        <v>2</v>
      </c>
      <c r="L112" s="10" t="s">
        <v>497</v>
      </c>
    </row>
    <row r="113" customFormat="false" ht="46.25" hidden="false" customHeight="false" outlineLevel="0" collapsed="false">
      <c r="A113" s="10" t="s">
        <v>498</v>
      </c>
      <c r="B113" s="10" t="s">
        <v>451</v>
      </c>
      <c r="C113" s="10" t="s">
        <v>499</v>
      </c>
      <c r="D113" s="10" t="s">
        <v>63</v>
      </c>
      <c r="E113" s="11" t="n">
        <v>1</v>
      </c>
      <c r="F113" s="11" t="n">
        <v>1</v>
      </c>
      <c r="G113" s="12" t="n">
        <v>0.0277777777777778</v>
      </c>
      <c r="H113" s="13" t="s">
        <v>17</v>
      </c>
      <c r="I113" s="10"/>
      <c r="J113" s="10" t="s">
        <v>500</v>
      </c>
      <c r="K113" s="14" t="n">
        <v>3</v>
      </c>
      <c r="L113" s="10" t="s">
        <v>497</v>
      </c>
    </row>
    <row r="114" customFormat="false" ht="46.25" hidden="false" customHeight="false" outlineLevel="0" collapsed="false">
      <c r="A114" s="10" t="s">
        <v>501</v>
      </c>
      <c r="B114" s="10" t="s">
        <v>451</v>
      </c>
      <c r="C114" s="10" t="s">
        <v>502</v>
      </c>
      <c r="D114" s="10" t="s">
        <v>63</v>
      </c>
      <c r="E114" s="11" t="n">
        <v>1</v>
      </c>
      <c r="F114" s="11" t="n">
        <v>1</v>
      </c>
      <c r="G114" s="12" t="n">
        <v>0.0277777777777778</v>
      </c>
      <c r="H114" s="15" t="s">
        <v>19</v>
      </c>
      <c r="I114" s="10" t="s">
        <v>503</v>
      </c>
      <c r="J114" s="10" t="s">
        <v>504</v>
      </c>
      <c r="K114" s="16" t="n">
        <v>1</v>
      </c>
      <c r="L114" s="10" t="s">
        <v>505</v>
      </c>
    </row>
    <row r="115" customFormat="false" ht="46.25" hidden="false" customHeight="false" outlineLevel="0" collapsed="false">
      <c r="A115" s="10" t="s">
        <v>506</v>
      </c>
      <c r="B115" s="10" t="s">
        <v>507</v>
      </c>
      <c r="C115" s="10" t="s">
        <v>508</v>
      </c>
      <c r="D115" s="10" t="s">
        <v>63</v>
      </c>
      <c r="E115" s="11" t="n">
        <v>53</v>
      </c>
      <c r="F115" s="11" t="n">
        <v>19</v>
      </c>
      <c r="G115" s="12" t="n">
        <v>0.527777777777778</v>
      </c>
      <c r="H115" s="13" t="s">
        <v>17</v>
      </c>
      <c r="I115" s="10"/>
      <c r="J115" s="10" t="s">
        <v>251</v>
      </c>
      <c r="K115" s="14" t="n">
        <v>3</v>
      </c>
      <c r="L115" s="10" t="s">
        <v>414</v>
      </c>
    </row>
    <row r="116" customFormat="false" ht="46.25" hidden="false" customHeight="false" outlineLevel="0" collapsed="false">
      <c r="A116" s="10" t="s">
        <v>509</v>
      </c>
      <c r="B116" s="10" t="s">
        <v>507</v>
      </c>
      <c r="C116" s="10" t="s">
        <v>510</v>
      </c>
      <c r="D116" s="10" t="s">
        <v>63</v>
      </c>
      <c r="E116" s="11" t="n">
        <v>33</v>
      </c>
      <c r="F116" s="11" t="n">
        <v>19</v>
      </c>
      <c r="G116" s="12" t="n">
        <v>0.527777777777778</v>
      </c>
      <c r="H116" s="13" t="s">
        <v>17</v>
      </c>
      <c r="I116" s="10"/>
      <c r="J116" s="10" t="s">
        <v>469</v>
      </c>
      <c r="K116" s="14" t="n">
        <v>3</v>
      </c>
      <c r="L116" s="10" t="s">
        <v>245</v>
      </c>
    </row>
    <row r="117" customFormat="false" ht="46.25" hidden="false" customHeight="false" outlineLevel="0" collapsed="false">
      <c r="A117" s="10" t="s">
        <v>511</v>
      </c>
      <c r="B117" s="10" t="s">
        <v>507</v>
      </c>
      <c r="C117" s="10" t="s">
        <v>512</v>
      </c>
      <c r="D117" s="10" t="s">
        <v>63</v>
      </c>
      <c r="E117" s="11" t="n">
        <v>22</v>
      </c>
      <c r="F117" s="11" t="n">
        <v>12</v>
      </c>
      <c r="G117" s="12" t="n">
        <v>0.333333333333333</v>
      </c>
      <c r="H117" s="13" t="s">
        <v>17</v>
      </c>
      <c r="I117" s="10"/>
      <c r="J117" s="10" t="s">
        <v>469</v>
      </c>
      <c r="K117" s="14" t="n">
        <v>3</v>
      </c>
      <c r="L117" s="10" t="s">
        <v>323</v>
      </c>
    </row>
    <row r="118" customFormat="false" ht="46.25" hidden="false" customHeight="false" outlineLevel="0" collapsed="false">
      <c r="A118" s="10" t="s">
        <v>513</v>
      </c>
      <c r="B118" s="10" t="s">
        <v>507</v>
      </c>
      <c r="C118" s="10" t="s">
        <v>514</v>
      </c>
      <c r="D118" s="10" t="s">
        <v>63</v>
      </c>
      <c r="E118" s="11" t="n">
        <v>5</v>
      </c>
      <c r="F118" s="11" t="n">
        <v>5</v>
      </c>
      <c r="G118" s="12" t="n">
        <v>0.138888888888889</v>
      </c>
      <c r="H118" s="13" t="s">
        <v>17</v>
      </c>
      <c r="I118" s="10"/>
      <c r="J118" s="10" t="s">
        <v>293</v>
      </c>
      <c r="K118" s="14" t="n">
        <v>3</v>
      </c>
      <c r="L118" s="10" t="s">
        <v>515</v>
      </c>
    </row>
    <row r="119" customFormat="false" ht="46.25" hidden="false" customHeight="false" outlineLevel="0" collapsed="false">
      <c r="A119" s="10" t="s">
        <v>516</v>
      </c>
      <c r="B119" s="10" t="s">
        <v>507</v>
      </c>
      <c r="C119" s="10" t="s">
        <v>517</v>
      </c>
      <c r="D119" s="10" t="s">
        <v>63</v>
      </c>
      <c r="E119" s="11" t="n">
        <v>1</v>
      </c>
      <c r="F119" s="11" t="n">
        <v>1</v>
      </c>
      <c r="G119" s="12" t="n">
        <v>0.0277777777777778</v>
      </c>
      <c r="H119" s="19" t="s">
        <v>21</v>
      </c>
      <c r="I119" s="10" t="s">
        <v>509</v>
      </c>
      <c r="J119" s="10" t="s">
        <v>518</v>
      </c>
      <c r="K119" s="16" t="n">
        <v>1</v>
      </c>
      <c r="L119" s="10" t="s">
        <v>519</v>
      </c>
    </row>
    <row r="120" customFormat="false" ht="46.25" hidden="false" customHeight="false" outlineLevel="0" collapsed="false">
      <c r="A120" s="10" t="s">
        <v>520</v>
      </c>
      <c r="B120" s="10" t="s">
        <v>521</v>
      </c>
      <c r="C120" s="10" t="s">
        <v>522</v>
      </c>
      <c r="D120" s="10" t="s">
        <v>63</v>
      </c>
      <c r="E120" s="11" t="n">
        <v>95</v>
      </c>
      <c r="F120" s="11" t="n">
        <v>24</v>
      </c>
      <c r="G120" s="12" t="n">
        <v>0.666666666666667</v>
      </c>
      <c r="H120" s="13" t="s">
        <v>17</v>
      </c>
      <c r="I120" s="10"/>
      <c r="J120" s="10" t="s">
        <v>469</v>
      </c>
      <c r="K120" s="14" t="n">
        <v>3</v>
      </c>
      <c r="L120" s="10" t="s">
        <v>523</v>
      </c>
    </row>
    <row r="121" customFormat="false" ht="46.25" hidden="false" customHeight="false" outlineLevel="0" collapsed="false">
      <c r="A121" s="10" t="s">
        <v>524</v>
      </c>
      <c r="B121" s="10" t="s">
        <v>521</v>
      </c>
      <c r="C121" s="10" t="s">
        <v>525</v>
      </c>
      <c r="D121" s="10" t="s">
        <v>63</v>
      </c>
      <c r="E121" s="11" t="n">
        <v>77</v>
      </c>
      <c r="F121" s="11" t="n">
        <v>20</v>
      </c>
      <c r="G121" s="12" t="n">
        <v>0.555555555555556</v>
      </c>
      <c r="H121" s="13" t="s">
        <v>17</v>
      </c>
      <c r="I121" s="10"/>
      <c r="J121" s="10" t="s">
        <v>469</v>
      </c>
      <c r="K121" s="14" t="n">
        <v>3</v>
      </c>
      <c r="L121" s="10" t="s">
        <v>526</v>
      </c>
    </row>
    <row r="122" customFormat="false" ht="46.25" hidden="false" customHeight="false" outlineLevel="0" collapsed="false">
      <c r="A122" s="10" t="s">
        <v>527</v>
      </c>
      <c r="B122" s="10" t="s">
        <v>521</v>
      </c>
      <c r="C122" s="10" t="s">
        <v>528</v>
      </c>
      <c r="D122" s="10" t="s">
        <v>63</v>
      </c>
      <c r="E122" s="11" t="n">
        <v>52</v>
      </c>
      <c r="F122" s="11" t="n">
        <v>18</v>
      </c>
      <c r="G122" s="12" t="n">
        <v>0.5</v>
      </c>
      <c r="H122" s="13" t="s">
        <v>17</v>
      </c>
      <c r="I122" s="10"/>
      <c r="J122" s="10" t="s">
        <v>469</v>
      </c>
      <c r="K122" s="14" t="n">
        <v>3</v>
      </c>
      <c r="L122" s="10" t="s">
        <v>454</v>
      </c>
    </row>
    <row r="123" customFormat="false" ht="46.25" hidden="false" customHeight="false" outlineLevel="0" collapsed="false">
      <c r="A123" s="10" t="s">
        <v>529</v>
      </c>
      <c r="B123" s="10" t="s">
        <v>521</v>
      </c>
      <c r="C123" s="10" t="s">
        <v>530</v>
      </c>
      <c r="D123" s="10" t="s">
        <v>63</v>
      </c>
      <c r="E123" s="11" t="n">
        <v>15</v>
      </c>
      <c r="F123" s="11" t="n">
        <v>7</v>
      </c>
      <c r="G123" s="12" t="n">
        <v>0.194444444444444</v>
      </c>
      <c r="H123" s="13" t="s">
        <v>17</v>
      </c>
      <c r="I123" s="10"/>
      <c r="J123" s="10" t="s">
        <v>293</v>
      </c>
      <c r="K123" s="14" t="n">
        <v>3</v>
      </c>
      <c r="L123" s="10" t="s">
        <v>531</v>
      </c>
    </row>
    <row r="124" customFormat="false" ht="46.25" hidden="false" customHeight="false" outlineLevel="0" collapsed="false">
      <c r="A124" s="10" t="s">
        <v>532</v>
      </c>
      <c r="B124" s="10" t="s">
        <v>521</v>
      </c>
      <c r="C124" s="10" t="s">
        <v>533</v>
      </c>
      <c r="D124" s="10" t="s">
        <v>63</v>
      </c>
      <c r="E124" s="11" t="n">
        <v>3</v>
      </c>
      <c r="F124" s="11" t="n">
        <v>3</v>
      </c>
      <c r="G124" s="12" t="n">
        <v>0.0833333333333333</v>
      </c>
      <c r="H124" s="13" t="s">
        <v>17</v>
      </c>
      <c r="I124" s="10"/>
      <c r="J124" s="10" t="s">
        <v>293</v>
      </c>
      <c r="K124" s="14" t="n">
        <v>3</v>
      </c>
      <c r="L124" s="10" t="s">
        <v>534</v>
      </c>
    </row>
    <row r="125" customFormat="false" ht="46.25" hidden="false" customHeight="false" outlineLevel="0" collapsed="false">
      <c r="A125" s="10" t="s">
        <v>535</v>
      </c>
      <c r="B125" s="10" t="s">
        <v>536</v>
      </c>
      <c r="C125" s="10" t="s">
        <v>537</v>
      </c>
      <c r="D125" s="10" t="s">
        <v>63</v>
      </c>
      <c r="E125" s="11" t="n">
        <v>71</v>
      </c>
      <c r="F125" s="11" t="n">
        <v>21</v>
      </c>
      <c r="G125" s="12" t="n">
        <v>0.583333333333333</v>
      </c>
      <c r="H125" s="13" t="s">
        <v>17</v>
      </c>
      <c r="I125" s="10"/>
      <c r="J125" s="10" t="s">
        <v>469</v>
      </c>
      <c r="K125" s="14" t="n">
        <v>3</v>
      </c>
      <c r="L125" s="10" t="s">
        <v>538</v>
      </c>
    </row>
    <row r="126" customFormat="false" ht="46.25" hidden="false" customHeight="false" outlineLevel="0" collapsed="false">
      <c r="A126" s="10" t="s">
        <v>539</v>
      </c>
      <c r="B126" s="10" t="s">
        <v>536</v>
      </c>
      <c r="C126" s="10" t="s">
        <v>540</v>
      </c>
      <c r="D126" s="10" t="s">
        <v>63</v>
      </c>
      <c r="E126" s="11" t="n">
        <v>58</v>
      </c>
      <c r="F126" s="11" t="n">
        <v>18</v>
      </c>
      <c r="G126" s="12" t="n">
        <v>0.5</v>
      </c>
      <c r="H126" s="13" t="s">
        <v>17</v>
      </c>
      <c r="I126" s="10"/>
      <c r="J126" s="10" t="s">
        <v>469</v>
      </c>
      <c r="K126" s="14" t="n">
        <v>3</v>
      </c>
      <c r="L126" s="10" t="s">
        <v>414</v>
      </c>
    </row>
    <row r="127" customFormat="false" ht="46.25" hidden="false" customHeight="false" outlineLevel="0" collapsed="false">
      <c r="A127" s="10" t="s">
        <v>541</v>
      </c>
      <c r="B127" s="10" t="s">
        <v>536</v>
      </c>
      <c r="C127" s="10" t="s">
        <v>542</v>
      </c>
      <c r="D127" s="10" t="s">
        <v>63</v>
      </c>
      <c r="E127" s="11" t="n">
        <v>16</v>
      </c>
      <c r="F127" s="11" t="n">
        <v>7</v>
      </c>
      <c r="G127" s="12" t="n">
        <v>0.194444444444444</v>
      </c>
      <c r="H127" s="13" t="s">
        <v>17</v>
      </c>
      <c r="I127" s="10"/>
      <c r="J127" s="10" t="s">
        <v>293</v>
      </c>
      <c r="K127" s="14" t="n">
        <v>3</v>
      </c>
      <c r="L127" s="10" t="s">
        <v>543</v>
      </c>
    </row>
    <row r="128" customFormat="false" ht="46.25" hidden="false" customHeight="false" outlineLevel="0" collapsed="false">
      <c r="A128" s="10" t="s">
        <v>544</v>
      </c>
      <c r="B128" s="10" t="s">
        <v>536</v>
      </c>
      <c r="C128" s="10" t="s">
        <v>545</v>
      </c>
      <c r="D128" s="10" t="s">
        <v>63</v>
      </c>
      <c r="E128" s="11" t="n">
        <v>12</v>
      </c>
      <c r="F128" s="11" t="n">
        <v>6</v>
      </c>
      <c r="G128" s="12" t="n">
        <v>0.166666666666667</v>
      </c>
      <c r="H128" s="13" t="s">
        <v>17</v>
      </c>
      <c r="I128" s="10"/>
      <c r="J128" s="10" t="s">
        <v>293</v>
      </c>
      <c r="K128" s="14" t="n">
        <v>3</v>
      </c>
      <c r="L128" s="10" t="s">
        <v>429</v>
      </c>
    </row>
    <row r="129" customFormat="false" ht="46.25" hidden="false" customHeight="false" outlineLevel="0" collapsed="false">
      <c r="A129" s="10" t="s">
        <v>546</v>
      </c>
      <c r="B129" s="10" t="s">
        <v>536</v>
      </c>
      <c r="C129" s="10" t="s">
        <v>547</v>
      </c>
      <c r="D129" s="10" t="s">
        <v>63</v>
      </c>
      <c r="E129" s="11" t="n">
        <v>10</v>
      </c>
      <c r="F129" s="11" t="n">
        <v>9</v>
      </c>
      <c r="G129" s="12" t="n">
        <v>0.25</v>
      </c>
      <c r="H129" s="13" t="s">
        <v>17</v>
      </c>
      <c r="I129" s="10"/>
      <c r="J129" s="10" t="s">
        <v>293</v>
      </c>
      <c r="K129" s="14" t="n">
        <v>3</v>
      </c>
      <c r="L129" s="10" t="s">
        <v>548</v>
      </c>
    </row>
    <row r="130" customFormat="false" ht="46.25" hidden="false" customHeight="false" outlineLevel="0" collapsed="false">
      <c r="A130" s="10" t="s">
        <v>549</v>
      </c>
      <c r="B130" s="10" t="s">
        <v>536</v>
      </c>
      <c r="C130" s="10" t="s">
        <v>550</v>
      </c>
      <c r="D130" s="10" t="s">
        <v>63</v>
      </c>
      <c r="E130" s="11" t="n">
        <v>4</v>
      </c>
      <c r="F130" s="11" t="n">
        <v>2</v>
      </c>
      <c r="G130" s="12" t="n">
        <v>0.0555555555555556</v>
      </c>
      <c r="H130" s="13" t="s">
        <v>17</v>
      </c>
      <c r="I130" s="10"/>
      <c r="J130" s="10" t="s">
        <v>551</v>
      </c>
      <c r="K130" s="14" t="n">
        <v>3</v>
      </c>
      <c r="L130" s="10" t="s">
        <v>552</v>
      </c>
    </row>
    <row r="131" customFormat="false" ht="46.25" hidden="false" customHeight="false" outlineLevel="0" collapsed="false">
      <c r="A131" s="10" t="s">
        <v>553</v>
      </c>
      <c r="B131" s="10" t="s">
        <v>554</v>
      </c>
      <c r="C131" s="10" t="s">
        <v>555</v>
      </c>
      <c r="D131" s="10" t="s">
        <v>63</v>
      </c>
      <c r="E131" s="11" t="n">
        <v>52</v>
      </c>
      <c r="F131" s="11" t="n">
        <v>21</v>
      </c>
      <c r="G131" s="12" t="n">
        <v>0.583333333333333</v>
      </c>
      <c r="H131" s="13" t="s">
        <v>17</v>
      </c>
      <c r="I131" s="10"/>
      <c r="J131" s="10" t="s">
        <v>469</v>
      </c>
      <c r="K131" s="14" t="n">
        <v>3</v>
      </c>
      <c r="L131" s="10" t="s">
        <v>65</v>
      </c>
    </row>
    <row r="132" customFormat="false" ht="46.25" hidden="false" customHeight="false" outlineLevel="0" collapsed="false">
      <c r="A132" s="10" t="s">
        <v>556</v>
      </c>
      <c r="B132" s="10" t="s">
        <v>554</v>
      </c>
      <c r="C132" s="10" t="s">
        <v>557</v>
      </c>
      <c r="D132" s="10" t="s">
        <v>63</v>
      </c>
      <c r="E132" s="11" t="n">
        <v>41</v>
      </c>
      <c r="F132" s="11" t="n">
        <v>19</v>
      </c>
      <c r="G132" s="12" t="n">
        <v>0.527777777777778</v>
      </c>
      <c r="H132" s="13" t="s">
        <v>17</v>
      </c>
      <c r="I132" s="10"/>
      <c r="J132" s="10" t="s">
        <v>558</v>
      </c>
      <c r="K132" s="14" t="n">
        <v>3</v>
      </c>
      <c r="L132" s="10" t="s">
        <v>410</v>
      </c>
    </row>
    <row r="133" customFormat="false" ht="46.25" hidden="false" customHeight="false" outlineLevel="0" collapsed="false">
      <c r="A133" s="10" t="s">
        <v>559</v>
      </c>
      <c r="B133" s="10" t="s">
        <v>554</v>
      </c>
      <c r="C133" s="10" t="s">
        <v>560</v>
      </c>
      <c r="D133" s="10" t="s">
        <v>63</v>
      </c>
      <c r="E133" s="11" t="n">
        <v>35</v>
      </c>
      <c r="F133" s="11" t="n">
        <v>16</v>
      </c>
      <c r="G133" s="12" t="n">
        <v>0.444444444444444</v>
      </c>
      <c r="H133" s="13" t="s">
        <v>17</v>
      </c>
      <c r="I133" s="10"/>
      <c r="J133" s="10" t="s">
        <v>469</v>
      </c>
      <c r="K133" s="14" t="n">
        <v>3</v>
      </c>
      <c r="L133" s="10" t="s">
        <v>417</v>
      </c>
    </row>
    <row r="134" customFormat="false" ht="46.25" hidden="false" customHeight="false" outlineLevel="0" collapsed="false">
      <c r="A134" s="10" t="s">
        <v>561</v>
      </c>
      <c r="B134" s="10" t="s">
        <v>554</v>
      </c>
      <c r="C134" s="10" t="s">
        <v>562</v>
      </c>
      <c r="D134" s="10" t="s">
        <v>63</v>
      </c>
      <c r="E134" s="11" t="n">
        <v>22</v>
      </c>
      <c r="F134" s="11" t="n">
        <v>9</v>
      </c>
      <c r="G134" s="12" t="n">
        <v>0.25</v>
      </c>
      <c r="H134" s="13" t="s">
        <v>17</v>
      </c>
      <c r="I134" s="10"/>
      <c r="J134" s="10" t="s">
        <v>563</v>
      </c>
      <c r="K134" s="14" t="n">
        <v>3</v>
      </c>
      <c r="L134" s="10" t="s">
        <v>414</v>
      </c>
    </row>
    <row r="135" customFormat="false" ht="46.25" hidden="false" customHeight="false" outlineLevel="0" collapsed="false">
      <c r="A135" s="10" t="s">
        <v>564</v>
      </c>
      <c r="B135" s="10" t="s">
        <v>554</v>
      </c>
      <c r="C135" s="10" t="s">
        <v>565</v>
      </c>
      <c r="D135" s="10" t="s">
        <v>63</v>
      </c>
      <c r="E135" s="11" t="n">
        <v>21</v>
      </c>
      <c r="F135" s="11" t="n">
        <v>10</v>
      </c>
      <c r="G135" s="12" t="n">
        <v>0.277777777777778</v>
      </c>
      <c r="H135" s="13" t="s">
        <v>17</v>
      </c>
      <c r="I135" s="10"/>
      <c r="J135" s="10" t="s">
        <v>293</v>
      </c>
      <c r="K135" s="14" t="n">
        <v>3</v>
      </c>
      <c r="L135" s="10" t="s">
        <v>566</v>
      </c>
    </row>
    <row r="136" customFormat="false" ht="46.25" hidden="false" customHeight="false" outlineLevel="0" collapsed="false">
      <c r="A136" s="10" t="s">
        <v>567</v>
      </c>
      <c r="B136" s="10" t="s">
        <v>554</v>
      </c>
      <c r="C136" s="10" t="s">
        <v>568</v>
      </c>
      <c r="D136" s="10" t="s">
        <v>63</v>
      </c>
      <c r="E136" s="11" t="n">
        <v>6</v>
      </c>
      <c r="F136" s="11" t="n">
        <v>2</v>
      </c>
      <c r="G136" s="12" t="n">
        <v>0.0555555555555556</v>
      </c>
      <c r="H136" s="13" t="s">
        <v>17</v>
      </c>
      <c r="I136" s="10"/>
      <c r="J136" s="10" t="s">
        <v>569</v>
      </c>
      <c r="K136" s="14" t="n">
        <v>3</v>
      </c>
      <c r="L136" s="10" t="s">
        <v>437</v>
      </c>
    </row>
    <row r="137" customFormat="false" ht="46.25" hidden="false" customHeight="false" outlineLevel="0" collapsed="false">
      <c r="A137" s="10" t="s">
        <v>570</v>
      </c>
      <c r="B137" s="10" t="s">
        <v>554</v>
      </c>
      <c r="C137" s="10" t="s">
        <v>571</v>
      </c>
      <c r="D137" s="10" t="s">
        <v>63</v>
      </c>
      <c r="E137" s="11" t="n">
        <v>2</v>
      </c>
      <c r="F137" s="11" t="n">
        <v>2</v>
      </c>
      <c r="G137" s="12" t="n">
        <v>0.0555555555555556</v>
      </c>
      <c r="H137" s="15" t="s">
        <v>19</v>
      </c>
      <c r="I137" s="10" t="s">
        <v>572</v>
      </c>
      <c r="J137" s="10" t="s">
        <v>573</v>
      </c>
      <c r="K137" s="16" t="n">
        <v>1</v>
      </c>
      <c r="L137" s="10" t="s">
        <v>574</v>
      </c>
    </row>
    <row r="138" customFormat="false" ht="46.25" hidden="false" customHeight="false" outlineLevel="0" collapsed="false">
      <c r="A138" s="10" t="s">
        <v>575</v>
      </c>
      <c r="B138" s="10" t="s">
        <v>576</v>
      </c>
      <c r="C138" s="10" t="s">
        <v>575</v>
      </c>
      <c r="D138" s="10" t="n">
        <v>0</v>
      </c>
      <c r="E138" s="11" t="n">
        <v>130</v>
      </c>
      <c r="F138" s="11" t="n">
        <v>6</v>
      </c>
      <c r="G138" s="12" t="n">
        <v>0.166666666666667</v>
      </c>
      <c r="H138" s="20" t="s">
        <v>23</v>
      </c>
      <c r="I138" s="10" t="s">
        <v>577</v>
      </c>
      <c r="J138" s="10" t="s">
        <v>578</v>
      </c>
      <c r="K138" s="16" t="n">
        <v>1</v>
      </c>
      <c r="L138" s="10" t="s">
        <v>579</v>
      </c>
    </row>
    <row r="139" customFormat="false" ht="46.25" hidden="false" customHeight="false" outlineLevel="0" collapsed="false">
      <c r="A139" s="10" t="s">
        <v>580</v>
      </c>
      <c r="B139" s="10" t="s">
        <v>576</v>
      </c>
      <c r="C139" s="10" t="s">
        <v>580</v>
      </c>
      <c r="D139" s="10" t="n">
        <v>0</v>
      </c>
      <c r="E139" s="11" t="n">
        <v>15</v>
      </c>
      <c r="F139" s="11" t="n">
        <v>7</v>
      </c>
      <c r="G139" s="12" t="n">
        <v>0.194444444444444</v>
      </c>
      <c r="H139" s="17" t="s">
        <v>27</v>
      </c>
      <c r="I139" s="10"/>
      <c r="J139" s="10" t="s">
        <v>581</v>
      </c>
      <c r="K139" s="18" t="n">
        <v>2</v>
      </c>
      <c r="L139" s="10" t="s">
        <v>582</v>
      </c>
    </row>
    <row r="140" customFormat="false" ht="46.25" hidden="false" customHeight="false" outlineLevel="0" collapsed="false">
      <c r="A140" s="10" t="s">
        <v>583</v>
      </c>
      <c r="B140" s="10" t="s">
        <v>576</v>
      </c>
      <c r="C140" s="10" t="s">
        <v>583</v>
      </c>
      <c r="D140" s="10" t="n">
        <v>0</v>
      </c>
      <c r="E140" s="11" t="n">
        <v>3</v>
      </c>
      <c r="F140" s="11" t="n">
        <v>3</v>
      </c>
      <c r="G140" s="12" t="n">
        <v>0.0833333333333333</v>
      </c>
      <c r="H140" s="17" t="s">
        <v>27</v>
      </c>
      <c r="I140" s="10"/>
      <c r="J140" s="10" t="s">
        <v>584</v>
      </c>
      <c r="K140" s="18" t="n">
        <v>2</v>
      </c>
      <c r="L140" s="10" t="s">
        <v>585</v>
      </c>
    </row>
  </sheetData>
  <autoFilter ref="A1:L1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5"/>
    <col collapsed="false" customWidth="true" hidden="false" outlineLevel="0" max="4" min="4" style="0" width="80"/>
    <col collapsed="false" customWidth="true" hidden="false" outlineLevel="0" max="6" min="5" style="0" width="30"/>
  </cols>
  <sheetData>
    <row r="1" customFormat="false" ht="17.35" hidden="false" customHeight="false" outlineLevel="0" collapsed="false">
      <c r="A1" s="1" t="s">
        <v>586</v>
      </c>
    </row>
    <row r="2" customFormat="false" ht="15" hidden="false" customHeight="false" outlineLevel="0" collapsed="false">
      <c r="A2" s="2" t="s">
        <v>587</v>
      </c>
    </row>
    <row r="4" customFormat="false" ht="30" hidden="false" customHeight="true" outlineLevel="0" collapsed="false">
      <c r="A4" s="9" t="s">
        <v>588</v>
      </c>
      <c r="B4" s="9" t="s">
        <v>589</v>
      </c>
      <c r="C4" s="9" t="s">
        <v>590</v>
      </c>
      <c r="D4" s="9" t="s">
        <v>591</v>
      </c>
      <c r="E4" s="9" t="s">
        <v>592</v>
      </c>
      <c r="F4" s="9" t="s">
        <v>593</v>
      </c>
    </row>
    <row r="5" customFormat="false" ht="15" hidden="false" customHeight="false" outlineLevel="0" collapsed="false">
      <c r="A5" s="10" t="n">
        <v>1</v>
      </c>
      <c r="B5" s="10" t="s">
        <v>594</v>
      </c>
      <c r="C5" s="10" t="s">
        <v>595</v>
      </c>
      <c r="D5" s="10" t="s">
        <v>596</v>
      </c>
      <c r="E5" s="10" t="s">
        <v>597</v>
      </c>
      <c r="F5" s="10" t="s">
        <v>597</v>
      </c>
    </row>
    <row r="6" customFormat="false" ht="15" hidden="false" customHeight="false" outlineLevel="0" collapsed="false">
      <c r="A6" s="10" t="n">
        <v>2</v>
      </c>
      <c r="B6" s="10" t="s">
        <v>598</v>
      </c>
      <c r="C6" s="10" t="s">
        <v>595</v>
      </c>
      <c r="D6" s="10" t="s">
        <v>599</v>
      </c>
      <c r="E6" s="10" t="s">
        <v>597</v>
      </c>
      <c r="F6" s="10" t="s">
        <v>597</v>
      </c>
    </row>
    <row r="7" customFormat="false" ht="23.85" hidden="false" customHeight="false" outlineLevel="0" collapsed="false">
      <c r="A7" s="10" t="n">
        <v>3</v>
      </c>
      <c r="B7" s="10" t="s">
        <v>600</v>
      </c>
      <c r="C7" s="10" t="s">
        <v>601</v>
      </c>
      <c r="D7" s="10" t="s">
        <v>602</v>
      </c>
      <c r="E7" s="10" t="s">
        <v>597</v>
      </c>
      <c r="F7" s="10" t="s">
        <v>597</v>
      </c>
    </row>
    <row r="8" customFormat="false" ht="15" hidden="false" customHeight="false" outlineLevel="0" collapsed="false">
      <c r="A8" s="10" t="n">
        <v>4</v>
      </c>
      <c r="B8" s="10" t="s">
        <v>603</v>
      </c>
      <c r="C8" s="10" t="s">
        <v>604</v>
      </c>
      <c r="D8" s="10"/>
      <c r="E8" s="10" t="s">
        <v>597</v>
      </c>
      <c r="F8" s="10" t="s">
        <v>597</v>
      </c>
    </row>
    <row r="9" customFormat="false" ht="15" hidden="false" customHeight="false" outlineLevel="0" collapsed="false">
      <c r="A9" s="10" t="n">
        <v>5</v>
      </c>
      <c r="B9" s="10" t="s">
        <v>605</v>
      </c>
      <c r="C9" s="10" t="s">
        <v>604</v>
      </c>
      <c r="D9" s="10"/>
      <c r="E9" s="10" t="s">
        <v>597</v>
      </c>
      <c r="F9" s="10" t="s">
        <v>597</v>
      </c>
    </row>
    <row r="10" customFormat="false" ht="15" hidden="false" customHeight="false" outlineLevel="0" collapsed="false">
      <c r="A10" s="10" t="n">
        <v>6</v>
      </c>
      <c r="B10" s="10" t="s">
        <v>606</v>
      </c>
      <c r="C10" s="10" t="s">
        <v>604</v>
      </c>
      <c r="D10" s="10"/>
      <c r="E10" s="10" t="s">
        <v>597</v>
      </c>
      <c r="F10" s="10" t="s">
        <v>597</v>
      </c>
    </row>
    <row r="11" customFormat="false" ht="15" hidden="false" customHeight="false" outlineLevel="0" collapsed="false">
      <c r="A11" s="10" t="n">
        <v>7</v>
      </c>
      <c r="B11" s="10" t="s">
        <v>607</v>
      </c>
      <c r="C11" s="10" t="s">
        <v>604</v>
      </c>
      <c r="D11" s="10"/>
      <c r="E11" s="10" t="s">
        <v>597</v>
      </c>
      <c r="F11" s="10" t="s">
        <v>597</v>
      </c>
    </row>
    <row r="12" customFormat="false" ht="23.85" hidden="false" customHeight="false" outlineLevel="0" collapsed="false">
      <c r="A12" s="10" t="n">
        <v>8</v>
      </c>
      <c r="B12" s="10" t="s">
        <v>608</v>
      </c>
      <c r="C12" s="10" t="s">
        <v>609</v>
      </c>
      <c r="D12" s="10" t="s">
        <v>610</v>
      </c>
      <c r="E12" s="10" t="s">
        <v>597</v>
      </c>
      <c r="F12" s="10" t="s">
        <v>597</v>
      </c>
    </row>
    <row r="13" customFormat="false" ht="46.25" hidden="false" customHeight="false" outlineLevel="0" collapsed="false">
      <c r="A13" s="10" t="n">
        <v>9</v>
      </c>
      <c r="B13" s="10" t="s">
        <v>611</v>
      </c>
      <c r="C13" s="10" t="s">
        <v>609</v>
      </c>
      <c r="D13" s="10" t="s">
        <v>612</v>
      </c>
      <c r="E13" s="10" t="s">
        <v>597</v>
      </c>
      <c r="F13" s="10" t="s">
        <v>597</v>
      </c>
    </row>
    <row r="14" customFormat="false" ht="15" hidden="false" customHeight="false" outlineLevel="0" collapsed="false">
      <c r="A14" s="10" t="n">
        <v>10</v>
      </c>
      <c r="B14" s="10" t="s">
        <v>613</v>
      </c>
      <c r="C14" s="10" t="s">
        <v>609</v>
      </c>
      <c r="D14" s="10" t="s">
        <v>614</v>
      </c>
      <c r="E14" s="10" t="s">
        <v>597</v>
      </c>
      <c r="F14" s="10" t="s">
        <v>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60"/>
    <col collapsed="false" customWidth="true" hidden="false" outlineLevel="0" max="3" min="3" style="0" width="22"/>
    <col collapsed="false" customWidth="true" hidden="false" outlineLevel="0" max="4" min="4" style="0" width="12"/>
  </cols>
  <sheetData>
    <row r="1" customFormat="false" ht="17.35" hidden="false" customHeight="false" outlineLevel="0" collapsed="false">
      <c r="A1" s="1" t="s">
        <v>615</v>
      </c>
    </row>
    <row r="2" customFormat="false" ht="15" hidden="false" customHeight="false" outlineLevel="0" collapsed="false">
      <c r="A2" s="2" t="s">
        <v>616</v>
      </c>
    </row>
    <row r="4" customFormat="false" ht="30" hidden="false" customHeight="true" outlineLevel="0" collapsed="false">
      <c r="A4" s="21" t="s">
        <v>617</v>
      </c>
      <c r="B4" s="21" t="s">
        <v>618</v>
      </c>
      <c r="C4" s="21" t="s">
        <v>619</v>
      </c>
      <c r="D4" s="21" t="s">
        <v>54</v>
      </c>
    </row>
    <row r="5" customFormat="false" ht="15" hidden="false" customHeight="false" outlineLevel="0" collapsed="false">
      <c r="A5" s="10" t="s">
        <v>66</v>
      </c>
      <c r="B5" s="10" t="s">
        <v>68</v>
      </c>
      <c r="C5" s="10" t="s">
        <v>620</v>
      </c>
      <c r="D5" s="10" t="n">
        <v>56</v>
      </c>
    </row>
    <row r="6" customFormat="false" ht="15" hidden="false" customHeight="false" outlineLevel="0" collapsed="false">
      <c r="A6" s="10" t="s">
        <v>180</v>
      </c>
      <c r="B6" s="10" t="s">
        <v>182</v>
      </c>
      <c r="C6" s="10" t="s">
        <v>620</v>
      </c>
      <c r="D6" s="10" t="n">
        <v>4</v>
      </c>
    </row>
    <row r="7" customFormat="false" ht="15" hidden="false" customHeight="false" outlineLevel="0" collapsed="false">
      <c r="A7" s="10" t="s">
        <v>188</v>
      </c>
      <c r="B7" s="10" t="s">
        <v>190</v>
      </c>
      <c r="C7" s="10" t="s">
        <v>621</v>
      </c>
      <c r="D7" s="10" t="n">
        <v>4</v>
      </c>
    </row>
    <row r="8" customFormat="false" ht="15" hidden="false" customHeight="false" outlineLevel="0" collapsed="false">
      <c r="A8" s="10" t="s">
        <v>337</v>
      </c>
      <c r="B8" s="10" t="s">
        <v>339</v>
      </c>
      <c r="C8" s="10" t="s">
        <v>620</v>
      </c>
      <c r="D8" s="10" t="n">
        <v>4</v>
      </c>
    </row>
    <row r="9" customFormat="false" ht="15" hidden="false" customHeight="false" outlineLevel="0" collapsed="false">
      <c r="A9" s="10" t="s">
        <v>358</v>
      </c>
      <c r="B9" s="10" t="s">
        <v>360</v>
      </c>
      <c r="C9" s="10" t="s">
        <v>622</v>
      </c>
      <c r="D9" s="10" t="n">
        <v>2</v>
      </c>
    </row>
    <row r="10" customFormat="false" ht="15" hidden="false" customHeight="false" outlineLevel="0" collapsed="false">
      <c r="A10" s="10" t="s">
        <v>256</v>
      </c>
      <c r="B10" s="10" t="s">
        <v>258</v>
      </c>
      <c r="C10" s="10" t="s">
        <v>620</v>
      </c>
      <c r="D10" s="10" t="n">
        <v>17</v>
      </c>
    </row>
    <row r="11" customFormat="false" ht="15" hidden="false" customHeight="false" outlineLevel="0" collapsed="false">
      <c r="A11" s="10" t="s">
        <v>372</v>
      </c>
      <c r="B11" s="10" t="s">
        <v>374</v>
      </c>
      <c r="C11" s="10" t="s">
        <v>620</v>
      </c>
      <c r="D11" s="10" t="n">
        <v>1</v>
      </c>
    </row>
    <row r="12" customFormat="false" ht="15" hidden="false" customHeight="false" outlineLevel="0" collapsed="false">
      <c r="A12" s="10" t="s">
        <v>501</v>
      </c>
      <c r="B12" s="10" t="s">
        <v>503</v>
      </c>
      <c r="C12" s="10" t="s">
        <v>620</v>
      </c>
      <c r="D12" s="10" t="n">
        <v>1</v>
      </c>
    </row>
    <row r="13" customFormat="false" ht="15" hidden="false" customHeight="false" outlineLevel="0" collapsed="false">
      <c r="A13" s="10" t="s">
        <v>570</v>
      </c>
      <c r="B13" s="10" t="s">
        <v>572</v>
      </c>
      <c r="C13" s="10" t="s">
        <v>620</v>
      </c>
      <c r="D13" s="1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12"/>
    <col collapsed="false" customWidth="true" hidden="false" outlineLevel="0" max="3" min="3" style="0" width="55"/>
    <col collapsed="false" customWidth="true" hidden="false" outlineLevel="0" max="4" min="4" style="0" width="12"/>
    <col collapsed="false" customWidth="true" hidden="false" outlineLevel="0" max="5" min="5" style="0" width="70"/>
    <col collapsed="false" customWidth="true" hidden="false" outlineLevel="0" max="6" min="6" style="0" width="10"/>
  </cols>
  <sheetData>
    <row r="1" customFormat="false" ht="17.35" hidden="false" customHeight="false" outlineLevel="0" collapsed="false">
      <c r="A1" s="1" t="s">
        <v>623</v>
      </c>
    </row>
    <row r="2" customFormat="false" ht="15" hidden="false" customHeight="false" outlineLevel="0" collapsed="false">
      <c r="A2" s="2" t="s">
        <v>624</v>
      </c>
    </row>
    <row r="4" customFormat="false" ht="30" hidden="false" customHeight="true" outlineLevel="0" collapsed="false">
      <c r="A4" s="9" t="s">
        <v>625</v>
      </c>
      <c r="B4" s="9" t="s">
        <v>626</v>
      </c>
      <c r="C4" s="9" t="s">
        <v>57</v>
      </c>
      <c r="D4" s="9" t="s">
        <v>627</v>
      </c>
      <c r="E4" s="9" t="s">
        <v>58</v>
      </c>
      <c r="F4" s="9" t="s">
        <v>30</v>
      </c>
    </row>
    <row r="5" customFormat="false" ht="23.85" hidden="false" customHeight="false" outlineLevel="0" collapsed="false">
      <c r="A5" s="10" t="s">
        <v>221</v>
      </c>
      <c r="B5" s="10" t="n">
        <v>1</v>
      </c>
      <c r="C5" s="10" t="s">
        <v>218</v>
      </c>
      <c r="D5" s="10" t="n">
        <v>2</v>
      </c>
      <c r="E5" s="10" t="s">
        <v>223</v>
      </c>
      <c r="F5" s="16" t="n">
        <v>1</v>
      </c>
    </row>
    <row r="6" customFormat="false" ht="15" hidden="false" customHeight="false" outlineLevel="0" collapsed="false">
      <c r="A6" s="10" t="s">
        <v>233</v>
      </c>
      <c r="B6" s="10" t="n">
        <v>1</v>
      </c>
      <c r="C6" s="10" t="s">
        <v>135</v>
      </c>
      <c r="D6" s="10" t="n">
        <v>9</v>
      </c>
      <c r="E6" s="10" t="s">
        <v>235</v>
      </c>
      <c r="F6" s="16" t="n">
        <v>1</v>
      </c>
    </row>
    <row r="7" customFormat="false" ht="15" hidden="false" customHeight="false" outlineLevel="0" collapsed="false">
      <c r="A7" s="10" t="s">
        <v>210</v>
      </c>
      <c r="B7" s="10" t="n">
        <v>2</v>
      </c>
      <c r="C7" s="10" t="s">
        <v>74</v>
      </c>
      <c r="D7" s="10" t="n">
        <v>31</v>
      </c>
      <c r="E7" s="10" t="s">
        <v>212</v>
      </c>
      <c r="F7" s="16" t="n">
        <v>1</v>
      </c>
    </row>
    <row r="8" customFormat="false" ht="23.85" hidden="false" customHeight="false" outlineLevel="0" collapsed="false">
      <c r="A8" s="10" t="s">
        <v>225</v>
      </c>
      <c r="B8" s="10" t="n">
        <v>1</v>
      </c>
      <c r="C8" s="10" t="s">
        <v>99</v>
      </c>
      <c r="D8" s="10" t="n">
        <v>14</v>
      </c>
      <c r="E8" s="10" t="s">
        <v>227</v>
      </c>
      <c r="F8" s="16" t="n">
        <v>1</v>
      </c>
    </row>
    <row r="9" customFormat="false" ht="15" hidden="false" customHeight="false" outlineLevel="0" collapsed="false">
      <c r="A9" s="10" t="s">
        <v>229</v>
      </c>
      <c r="B9" s="10" t="n">
        <v>1</v>
      </c>
      <c r="C9" s="10" t="s">
        <v>173</v>
      </c>
      <c r="D9" s="10" t="n">
        <v>6</v>
      </c>
      <c r="E9" s="10" t="s">
        <v>231</v>
      </c>
      <c r="F9" s="16" t="n">
        <v>1</v>
      </c>
    </row>
    <row r="10" customFormat="false" ht="15" hidden="false" customHeight="false" outlineLevel="0" collapsed="false">
      <c r="A10" s="10" t="s">
        <v>237</v>
      </c>
      <c r="B10" s="10" t="n">
        <v>1</v>
      </c>
      <c r="C10" s="10" t="s">
        <v>148</v>
      </c>
      <c r="D10" s="10" t="n">
        <v>8</v>
      </c>
      <c r="E10" s="10" t="s">
        <v>239</v>
      </c>
      <c r="F10" s="16" t="n">
        <v>1</v>
      </c>
    </row>
    <row r="11" customFormat="false" ht="23.85" hidden="false" customHeight="false" outlineLevel="0" collapsed="false">
      <c r="A11" s="10" t="s">
        <v>283</v>
      </c>
      <c r="B11" s="10" t="n">
        <v>10</v>
      </c>
      <c r="C11" s="10" t="s">
        <v>258</v>
      </c>
      <c r="D11" s="10"/>
      <c r="E11" s="10" t="s">
        <v>285</v>
      </c>
      <c r="F11" s="16" t="n">
        <v>1</v>
      </c>
    </row>
    <row r="12" customFormat="false" ht="15" hidden="false" customHeight="false" outlineLevel="0" collapsed="false">
      <c r="A12" s="10" t="s">
        <v>397</v>
      </c>
      <c r="B12" s="10" t="n">
        <v>1</v>
      </c>
      <c r="C12" s="10" t="s">
        <v>298</v>
      </c>
      <c r="D12" s="10" t="n">
        <v>8</v>
      </c>
      <c r="E12" s="10" t="s">
        <v>399</v>
      </c>
      <c r="F12" s="16" t="n">
        <v>1</v>
      </c>
    </row>
    <row r="13" customFormat="false" ht="23.85" hidden="false" customHeight="false" outlineLevel="0" collapsed="false">
      <c r="A13" s="10" t="s">
        <v>381</v>
      </c>
      <c r="B13" s="10" t="n">
        <v>1</v>
      </c>
      <c r="C13" s="10" t="s">
        <v>346</v>
      </c>
      <c r="D13" s="10" t="n">
        <v>3</v>
      </c>
      <c r="E13" s="10" t="s">
        <v>383</v>
      </c>
      <c r="F13" s="16" t="n">
        <v>1</v>
      </c>
    </row>
    <row r="14" customFormat="false" ht="15" hidden="false" customHeight="false" outlineLevel="0" collapsed="false">
      <c r="A14" s="10" t="s">
        <v>516</v>
      </c>
      <c r="B14" s="10" t="n">
        <v>1</v>
      </c>
      <c r="C14" s="10" t="s">
        <v>509</v>
      </c>
      <c r="D14" s="10" t="n">
        <v>33</v>
      </c>
      <c r="E14" s="10" t="s">
        <v>518</v>
      </c>
      <c r="F14" s="16" t="n">
        <v>1</v>
      </c>
    </row>
    <row r="15" customFormat="false" ht="15" hidden="false" customHeight="false" outlineLevel="0" collapsed="false">
      <c r="A15" s="10" t="s">
        <v>438</v>
      </c>
      <c r="B15" s="10" t="n">
        <v>2</v>
      </c>
      <c r="C15" s="10" t="s">
        <v>425</v>
      </c>
      <c r="D15" s="10" t="n">
        <v>29</v>
      </c>
      <c r="E15" s="10" t="s">
        <v>440</v>
      </c>
      <c r="F15" s="16" t="n">
        <v>1</v>
      </c>
    </row>
    <row r="16" customFormat="false" ht="15" hidden="false" customHeight="false" outlineLevel="0" collapsed="false">
      <c r="A16" s="10" t="s">
        <v>442</v>
      </c>
      <c r="B16" s="10" t="n">
        <v>2</v>
      </c>
      <c r="C16" s="10" t="s">
        <v>420</v>
      </c>
      <c r="D16" s="10" t="n">
        <v>51</v>
      </c>
      <c r="E16" s="10" t="s">
        <v>444</v>
      </c>
      <c r="F16" s="16" t="n">
        <v>1</v>
      </c>
    </row>
    <row r="17" customFormat="false" ht="15" hidden="false" customHeight="false" outlineLevel="0" collapsed="false">
      <c r="A17" s="10" t="s">
        <v>446</v>
      </c>
      <c r="B17" s="10" t="n">
        <v>1</v>
      </c>
      <c r="C17" s="10" t="s">
        <v>427</v>
      </c>
      <c r="D17" s="10" t="n">
        <v>27</v>
      </c>
      <c r="E17" s="10" t="s">
        <v>448</v>
      </c>
      <c r="F17" s="16" t="n">
        <v>1</v>
      </c>
    </row>
    <row r="18" customFormat="false" ht="23.85" hidden="false" customHeight="false" outlineLevel="0" collapsed="false">
      <c r="A18" s="10" t="s">
        <v>482</v>
      </c>
      <c r="B18" s="10" t="n">
        <v>1</v>
      </c>
      <c r="C18" s="10" t="s">
        <v>461</v>
      </c>
      <c r="D18" s="10" t="n">
        <v>10</v>
      </c>
      <c r="E18" s="10" t="s">
        <v>484</v>
      </c>
      <c r="F18" s="18"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18"/>
    <col collapsed="false" customWidth="true" hidden="false" outlineLevel="0" max="5" min="4" style="0" width="22"/>
    <col collapsed="false" customWidth="true" hidden="false" outlineLevel="0" max="6" min="6" style="0" width="30"/>
  </cols>
  <sheetData>
    <row r="1" customFormat="false" ht="17.35" hidden="false" customHeight="false" outlineLevel="0" collapsed="false">
      <c r="A1" s="1" t="s">
        <v>628</v>
      </c>
    </row>
    <row r="3" customFormat="false" ht="30" hidden="false" customHeight="true" outlineLevel="0" collapsed="false">
      <c r="A3" s="9" t="s">
        <v>51</v>
      </c>
      <c r="B3" s="9" t="s">
        <v>15</v>
      </c>
      <c r="C3" s="9" t="s">
        <v>629</v>
      </c>
      <c r="D3" s="9" t="s">
        <v>630</v>
      </c>
      <c r="E3" s="9" t="s">
        <v>631</v>
      </c>
      <c r="F3" s="9" t="s">
        <v>632</v>
      </c>
    </row>
    <row r="4" customFormat="false" ht="15" hidden="false" customHeight="false" outlineLevel="0" collapsed="false">
      <c r="A4" s="22" t="s">
        <v>406</v>
      </c>
      <c r="B4" s="22" t="n">
        <v>13</v>
      </c>
      <c r="C4" s="22" t="n">
        <v>545</v>
      </c>
      <c r="D4" s="23" t="n">
        <v>41.9</v>
      </c>
      <c r="E4" s="24" t="n">
        <v>0.55442522889115</v>
      </c>
      <c r="F4" s="22" t="n">
        <v>10</v>
      </c>
    </row>
    <row r="5" customFormat="false" ht="15" hidden="false" customHeight="false" outlineLevel="0" collapsed="false">
      <c r="A5" s="22" t="s">
        <v>451</v>
      </c>
      <c r="B5" s="22" t="n">
        <v>15</v>
      </c>
      <c r="C5" s="22" t="n">
        <v>131</v>
      </c>
      <c r="D5" s="23" t="n">
        <v>8.7</v>
      </c>
      <c r="E5" s="24" t="n">
        <v>0.133265513733469</v>
      </c>
      <c r="F5" s="22" t="n">
        <v>13</v>
      </c>
    </row>
    <row r="6" customFormat="false" ht="15" hidden="false" customHeight="false" outlineLevel="0" collapsed="false">
      <c r="A6" s="22" t="s">
        <v>507</v>
      </c>
      <c r="B6" s="22" t="n">
        <v>5</v>
      </c>
      <c r="C6" s="22" t="n">
        <v>114</v>
      </c>
      <c r="D6" s="23" t="n">
        <v>22.8</v>
      </c>
      <c r="E6" s="24" t="n">
        <v>0.115971515768057</v>
      </c>
      <c r="F6" s="22" t="n">
        <v>4</v>
      </c>
    </row>
    <row r="7" customFormat="false" ht="15" hidden="false" customHeight="false" outlineLevel="0" collapsed="false">
      <c r="A7" s="22" t="s">
        <v>521</v>
      </c>
      <c r="B7" s="22" t="n">
        <v>5</v>
      </c>
      <c r="C7" s="22" t="n">
        <v>242</v>
      </c>
      <c r="D7" s="23" t="n">
        <v>48.4</v>
      </c>
      <c r="E7" s="24" t="n">
        <v>0.24618514750763</v>
      </c>
      <c r="F7" s="22" t="n">
        <v>5</v>
      </c>
    </row>
    <row r="8" customFormat="false" ht="15" hidden="false" customHeight="false" outlineLevel="0" collapsed="false">
      <c r="A8" s="22" t="s">
        <v>536</v>
      </c>
      <c r="B8" s="22" t="n">
        <v>6</v>
      </c>
      <c r="C8" s="22" t="n">
        <v>171</v>
      </c>
      <c r="D8" s="23" t="n">
        <v>28.5</v>
      </c>
      <c r="E8" s="24" t="n">
        <v>0.173957273652086</v>
      </c>
      <c r="F8" s="22" t="n">
        <v>6</v>
      </c>
    </row>
    <row r="9" customFormat="false" ht="15" hidden="false" customHeight="false" outlineLevel="0" collapsed="false">
      <c r="A9" s="22" t="s">
        <v>554</v>
      </c>
      <c r="B9" s="22" t="n">
        <v>7</v>
      </c>
      <c r="C9" s="22" t="n">
        <v>179</v>
      </c>
      <c r="D9" s="23" t="n">
        <v>25.6</v>
      </c>
      <c r="E9" s="24" t="n">
        <v>0.182095625635809</v>
      </c>
      <c r="F9" s="22" t="n">
        <v>7</v>
      </c>
    </row>
    <row r="10" customFormat="false" ht="15" hidden="false" customHeight="false" outlineLevel="0" collapsed="false">
      <c r="A10" s="22" t="s">
        <v>576</v>
      </c>
      <c r="B10" s="22" t="n">
        <v>3</v>
      </c>
      <c r="C10" s="22" t="n">
        <v>148</v>
      </c>
      <c r="D10" s="23" t="n">
        <v>49.3</v>
      </c>
      <c r="E10" s="24" t="n">
        <v>0.150559511698881</v>
      </c>
      <c r="F10" s="22" t="n">
        <v>3</v>
      </c>
    </row>
    <row r="11" customFormat="false" ht="15" hidden="false" customHeight="false" outlineLevel="0" collapsed="false">
      <c r="A11" s="22" t="s">
        <v>242</v>
      </c>
      <c r="B11" s="22" t="n">
        <v>41</v>
      </c>
      <c r="C11" s="22" t="n">
        <v>338</v>
      </c>
      <c r="D11" s="23" t="n">
        <v>8.2</v>
      </c>
      <c r="E11" s="24" t="n">
        <v>0.343845371312309</v>
      </c>
      <c r="F11" s="22" t="n">
        <v>38</v>
      </c>
    </row>
    <row r="12" customFormat="false" ht="15" hidden="false" customHeight="false" outlineLevel="0" collapsed="false">
      <c r="A12" s="22" t="s">
        <v>61</v>
      </c>
      <c r="B12" s="22" t="n">
        <v>44</v>
      </c>
      <c r="C12" s="22" t="n">
        <v>550</v>
      </c>
      <c r="D12" s="23" t="n">
        <v>12.5</v>
      </c>
      <c r="E12" s="24" t="n">
        <v>0.559511698880977</v>
      </c>
      <c r="F12" s="22" t="n">
        <v>38</v>
      </c>
    </row>
    <row r="13" customFormat="false" ht="15" hidden="false" customHeight="false" outlineLevel="0" collapsed="false">
      <c r="A13" s="25" t="s">
        <v>633</v>
      </c>
      <c r="B13" s="25" t="n">
        <f aca="false">SUM(B4:B12)</f>
        <v>139</v>
      </c>
      <c r="C13" s="25" t="n">
        <f aca="false">SUM(C4:C12)</f>
        <v>2418</v>
      </c>
      <c r="D13" s="26" t="n">
        <f aca="false">C13/B13</f>
        <v>17.3956834532374</v>
      </c>
      <c r="E13" s="27" t="n">
        <f aca="false">SUM(E4:E12)</f>
        <v>2.45981688708037</v>
      </c>
      <c r="F13" s="25" t="n">
        <f aca="false">SUM(F4:F12)</f>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2" min="2" style="0" width="14"/>
    <col collapsed="false" customWidth="true" hidden="false" outlineLevel="0" max="3" min="3" style="0" width="22"/>
    <col collapsed="false" customWidth="true" hidden="false" outlineLevel="0" max="4" min="4" style="0" width="50"/>
  </cols>
  <sheetData>
    <row r="1" customFormat="false" ht="17.35" hidden="false" customHeight="false" outlineLevel="0" collapsed="false">
      <c r="A1" s="1" t="s">
        <v>634</v>
      </c>
    </row>
    <row r="2" customFormat="false" ht="15" hidden="false" customHeight="false" outlineLevel="0" collapsed="false">
      <c r="A2" s="2" t="s">
        <v>635</v>
      </c>
    </row>
    <row r="4" customFormat="false" ht="15" hidden="false" customHeight="false" outlineLevel="0" collapsed="false">
      <c r="A4" s="3" t="s">
        <v>636</v>
      </c>
    </row>
    <row r="5" customFormat="false" ht="15" hidden="false" customHeight="false" outlineLevel="0" collapsed="false">
      <c r="A5" s="21" t="s">
        <v>50</v>
      </c>
      <c r="B5" s="21" t="s">
        <v>54</v>
      </c>
      <c r="C5" s="21" t="s">
        <v>55</v>
      </c>
      <c r="D5" s="21" t="s">
        <v>637</v>
      </c>
    </row>
    <row r="6" customFormat="false" ht="46.25" hidden="false" customHeight="false" outlineLevel="0" collapsed="false">
      <c r="A6" s="10" t="s">
        <v>405</v>
      </c>
      <c r="B6" s="10" t="n">
        <v>192</v>
      </c>
      <c r="C6" s="10" t="n">
        <v>32</v>
      </c>
      <c r="D6" s="10" t="s">
        <v>409</v>
      </c>
    </row>
    <row r="7" customFormat="false" ht="57.45" hidden="false" customHeight="false" outlineLevel="0" collapsed="false">
      <c r="A7" s="10" t="s">
        <v>575</v>
      </c>
      <c r="B7" s="10" t="n">
        <v>130</v>
      </c>
      <c r="C7" s="10" t="n">
        <v>6</v>
      </c>
      <c r="D7" s="10" t="s">
        <v>578</v>
      </c>
    </row>
    <row r="8" customFormat="false" ht="23.85" hidden="false" customHeight="false" outlineLevel="0" collapsed="false">
      <c r="A8" s="10" t="s">
        <v>60</v>
      </c>
      <c r="B8" s="10" t="n">
        <v>95</v>
      </c>
      <c r="C8" s="10" t="n">
        <v>26</v>
      </c>
      <c r="D8" s="10" t="s">
        <v>64</v>
      </c>
    </row>
    <row r="9" customFormat="false" ht="15" hidden="false" customHeight="false" outlineLevel="0" collapsed="false">
      <c r="A9" s="10" t="s">
        <v>520</v>
      </c>
      <c r="B9" s="10" t="n">
        <v>95</v>
      </c>
      <c r="C9" s="10" t="n">
        <v>24</v>
      </c>
      <c r="D9" s="10" t="s">
        <v>469</v>
      </c>
    </row>
    <row r="10" customFormat="false" ht="15" hidden="false" customHeight="false" outlineLevel="0" collapsed="false">
      <c r="A10" s="10" t="s">
        <v>524</v>
      </c>
      <c r="B10" s="10" t="n">
        <v>77</v>
      </c>
      <c r="C10" s="10" t="n">
        <v>20</v>
      </c>
      <c r="D10" s="10" t="s">
        <v>469</v>
      </c>
    </row>
    <row r="11" customFormat="false" ht="15" hidden="false" customHeight="false" outlineLevel="0" collapsed="false">
      <c r="A11" s="10" t="s">
        <v>450</v>
      </c>
      <c r="B11" s="10" t="n">
        <v>77</v>
      </c>
      <c r="C11" s="10" t="n">
        <v>21</v>
      </c>
      <c r="D11" s="10" t="s">
        <v>453</v>
      </c>
    </row>
    <row r="12" customFormat="false" ht="15" hidden="false" customHeight="false" outlineLevel="0" collapsed="false">
      <c r="A12" s="10" t="s">
        <v>535</v>
      </c>
      <c r="B12" s="10" t="n">
        <v>71</v>
      </c>
      <c r="C12" s="10" t="n">
        <v>21</v>
      </c>
      <c r="D12" s="10" t="s">
        <v>469</v>
      </c>
    </row>
    <row r="13" customFormat="false" ht="15" hidden="false" customHeight="false" outlineLevel="0" collapsed="false">
      <c r="A13" s="10" t="s">
        <v>411</v>
      </c>
      <c r="B13" s="10" t="n">
        <v>63</v>
      </c>
      <c r="C13" s="10" t="n">
        <v>25</v>
      </c>
      <c r="D13" s="10" t="s">
        <v>413</v>
      </c>
    </row>
    <row r="14" customFormat="false" ht="15" hidden="false" customHeight="false" outlineLevel="0" collapsed="false">
      <c r="A14" s="10" t="s">
        <v>415</v>
      </c>
      <c r="B14" s="10" t="n">
        <v>62</v>
      </c>
      <c r="C14" s="10" t="n">
        <v>22</v>
      </c>
      <c r="D14" s="10" t="s">
        <v>293</v>
      </c>
    </row>
    <row r="15" customFormat="false" ht="15" hidden="false" customHeight="false" outlineLevel="0" collapsed="false">
      <c r="A15" s="10" t="s">
        <v>418</v>
      </c>
      <c r="B15" s="10" t="n">
        <v>59</v>
      </c>
      <c r="C15" s="10" t="n">
        <v>22</v>
      </c>
      <c r="D15" s="10" t="s">
        <v>293</v>
      </c>
    </row>
    <row r="16" customFormat="false" ht="15" hidden="false" customHeight="false" outlineLevel="0" collapsed="false">
      <c r="A16" s="10" t="s">
        <v>539</v>
      </c>
      <c r="B16" s="10" t="n">
        <v>58</v>
      </c>
      <c r="C16" s="10" t="n">
        <v>18</v>
      </c>
      <c r="D16" s="10" t="s">
        <v>469</v>
      </c>
    </row>
    <row r="17" customFormat="false" ht="15" hidden="false" customHeight="false" outlineLevel="0" collapsed="false">
      <c r="A17" s="10" t="s">
        <v>66</v>
      </c>
      <c r="B17" s="10" t="n">
        <v>56</v>
      </c>
      <c r="C17" s="10" t="n">
        <v>22</v>
      </c>
      <c r="D17" s="10" t="s">
        <v>69</v>
      </c>
    </row>
    <row r="18" customFormat="false" ht="15" hidden="false" customHeight="false" outlineLevel="0" collapsed="false">
      <c r="A18" s="10" t="s">
        <v>506</v>
      </c>
      <c r="B18" s="10" t="n">
        <v>53</v>
      </c>
      <c r="C18" s="10" t="n">
        <v>19</v>
      </c>
      <c r="D18" s="10" t="s">
        <v>251</v>
      </c>
    </row>
    <row r="19" customFormat="false" ht="15" hidden="false" customHeight="false" outlineLevel="0" collapsed="false">
      <c r="A19" s="10" t="s">
        <v>527</v>
      </c>
      <c r="B19" s="10" t="n">
        <v>52</v>
      </c>
      <c r="C19" s="10" t="n">
        <v>18</v>
      </c>
      <c r="D19" s="10" t="s">
        <v>469</v>
      </c>
    </row>
    <row r="20" customFormat="false" ht="15" hidden="false" customHeight="false" outlineLevel="0" collapsed="false">
      <c r="A20" s="10" t="s">
        <v>553</v>
      </c>
      <c r="B20" s="10" t="n">
        <v>52</v>
      </c>
      <c r="C20" s="10" t="n">
        <v>21</v>
      </c>
      <c r="D20" s="10" t="s">
        <v>469</v>
      </c>
    </row>
    <row r="23" customFormat="false" ht="15" hidden="false" customHeight="false" outlineLevel="0" collapsed="false">
      <c r="A23" s="3" t="s">
        <v>638</v>
      </c>
    </row>
    <row r="24" customFormat="false" ht="15" hidden="false" customHeight="false" outlineLevel="0" collapsed="false">
      <c r="A24" s="21" t="s">
        <v>50</v>
      </c>
      <c r="B24" s="21" t="s">
        <v>54</v>
      </c>
      <c r="C24" s="21" t="s">
        <v>639</v>
      </c>
      <c r="D24" s="21" t="s">
        <v>640</v>
      </c>
    </row>
    <row r="25" customFormat="false" ht="15" hidden="false" customHeight="false" outlineLevel="0" collapsed="false">
      <c r="A25" s="10" t="s">
        <v>221</v>
      </c>
      <c r="B25" s="10" t="n">
        <v>1</v>
      </c>
      <c r="C25" s="28" t="s">
        <v>21</v>
      </c>
      <c r="D25" s="10" t="s">
        <v>218</v>
      </c>
    </row>
    <row r="26" customFormat="false" ht="15" hidden="false" customHeight="false" outlineLevel="0" collapsed="false">
      <c r="A26" s="10" t="s">
        <v>233</v>
      </c>
      <c r="B26" s="10" t="n">
        <v>1</v>
      </c>
      <c r="C26" s="28" t="s">
        <v>21</v>
      </c>
      <c r="D26" s="10" t="s">
        <v>135</v>
      </c>
    </row>
    <row r="27" customFormat="false" ht="15" hidden="false" customHeight="false" outlineLevel="0" collapsed="false">
      <c r="A27" s="10" t="s">
        <v>225</v>
      </c>
      <c r="B27" s="10" t="n">
        <v>1</v>
      </c>
      <c r="C27" s="28" t="s">
        <v>21</v>
      </c>
      <c r="D27" s="10" t="s">
        <v>99</v>
      </c>
    </row>
    <row r="28" customFormat="false" ht="15" hidden="false" customHeight="false" outlineLevel="0" collapsed="false">
      <c r="A28" s="10" t="s">
        <v>229</v>
      </c>
      <c r="B28" s="10" t="n">
        <v>1</v>
      </c>
      <c r="C28" s="28" t="s">
        <v>21</v>
      </c>
      <c r="D28" s="10" t="s">
        <v>173</v>
      </c>
    </row>
    <row r="29" customFormat="false" ht="15" hidden="false" customHeight="false" outlineLevel="0" collapsed="false">
      <c r="A29" s="10" t="s">
        <v>237</v>
      </c>
      <c r="B29" s="10" t="n">
        <v>1</v>
      </c>
      <c r="C29" s="28" t="s">
        <v>21</v>
      </c>
      <c r="D29" s="10" t="s">
        <v>148</v>
      </c>
    </row>
    <row r="30" customFormat="false" ht="15" hidden="false" customHeight="false" outlineLevel="0" collapsed="false">
      <c r="A30" s="10" t="s">
        <v>401</v>
      </c>
      <c r="B30" s="10" t="n">
        <v>1</v>
      </c>
      <c r="C30" s="29" t="s">
        <v>17</v>
      </c>
      <c r="D30" s="10"/>
    </row>
    <row r="31" customFormat="false" ht="15" hidden="false" customHeight="false" outlineLevel="0" collapsed="false">
      <c r="A31" s="10" t="s">
        <v>385</v>
      </c>
      <c r="B31" s="10" t="n">
        <v>1</v>
      </c>
      <c r="C31" s="29" t="s">
        <v>17</v>
      </c>
      <c r="D31" s="10"/>
    </row>
    <row r="32" customFormat="false" ht="15" hidden="false" customHeight="false" outlineLevel="0" collapsed="false">
      <c r="A32" s="10" t="s">
        <v>389</v>
      </c>
      <c r="B32" s="10" t="n">
        <v>1</v>
      </c>
      <c r="C32" s="29" t="s">
        <v>17</v>
      </c>
      <c r="D32" s="10"/>
    </row>
    <row r="33" customFormat="false" ht="15" hidden="false" customHeight="false" outlineLevel="0" collapsed="false">
      <c r="A33" s="10" t="s">
        <v>372</v>
      </c>
      <c r="B33" s="10" t="n">
        <v>1</v>
      </c>
      <c r="C33" s="30" t="s">
        <v>19</v>
      </c>
      <c r="D33" s="10" t="s">
        <v>374</v>
      </c>
    </row>
    <row r="34" customFormat="false" ht="15" hidden="false" customHeight="false" outlineLevel="0" collapsed="false">
      <c r="A34" s="10" t="s">
        <v>393</v>
      </c>
      <c r="B34" s="10" t="n">
        <v>1</v>
      </c>
      <c r="C34" s="29" t="s">
        <v>17</v>
      </c>
      <c r="D34" s="10"/>
    </row>
    <row r="35" customFormat="false" ht="15" hidden="false" customHeight="false" outlineLevel="0" collapsed="false">
      <c r="A35" s="10" t="s">
        <v>377</v>
      </c>
      <c r="B35" s="10" t="n">
        <v>1</v>
      </c>
      <c r="C35" s="29" t="s">
        <v>17</v>
      </c>
      <c r="D35" s="10"/>
    </row>
    <row r="36" customFormat="false" ht="23.85" hidden="false" customHeight="false" outlineLevel="0" collapsed="false">
      <c r="A36" s="10" t="s">
        <v>397</v>
      </c>
      <c r="B36" s="10" t="n">
        <v>1</v>
      </c>
      <c r="C36" s="28" t="s">
        <v>21</v>
      </c>
      <c r="D36" s="10" t="s">
        <v>298</v>
      </c>
    </row>
    <row r="37" customFormat="false" ht="23.85" hidden="false" customHeight="false" outlineLevel="0" collapsed="false">
      <c r="A37" s="10" t="s">
        <v>381</v>
      </c>
      <c r="B37" s="10" t="n">
        <v>1</v>
      </c>
      <c r="C37" s="28" t="s">
        <v>21</v>
      </c>
      <c r="D37" s="10" t="s">
        <v>346</v>
      </c>
    </row>
    <row r="38" customFormat="false" ht="15" hidden="false" customHeight="false" outlineLevel="0" collapsed="false">
      <c r="A38" s="10" t="s">
        <v>516</v>
      </c>
      <c r="B38" s="10" t="n">
        <v>1</v>
      </c>
      <c r="C38" s="28" t="s">
        <v>21</v>
      </c>
      <c r="D38" s="10" t="s">
        <v>509</v>
      </c>
    </row>
    <row r="39" customFormat="false" ht="15" hidden="false" customHeight="false" outlineLevel="0" collapsed="false">
      <c r="A39" s="10" t="s">
        <v>494</v>
      </c>
      <c r="B39" s="10" t="n">
        <v>1</v>
      </c>
      <c r="C39" s="29" t="s">
        <v>17</v>
      </c>
      <c r="D39" s="10"/>
    </row>
    <row r="40" customFormat="false" ht="15" hidden="false" customHeight="false" outlineLevel="0" collapsed="false">
      <c r="A40" s="10" t="s">
        <v>474</v>
      </c>
      <c r="B40" s="10" t="n">
        <v>1</v>
      </c>
      <c r="C40" s="29" t="s">
        <v>17</v>
      </c>
      <c r="D40" s="10"/>
    </row>
    <row r="41" customFormat="false" ht="15" hidden="false" customHeight="false" outlineLevel="0" collapsed="false">
      <c r="A41" s="10" t="s">
        <v>478</v>
      </c>
      <c r="B41" s="10" t="n">
        <v>1</v>
      </c>
      <c r="C41" s="31" t="s">
        <v>25</v>
      </c>
      <c r="D41" s="10"/>
    </row>
    <row r="42" customFormat="false" ht="15" hidden="false" customHeight="false" outlineLevel="0" collapsed="false">
      <c r="A42" s="10" t="s">
        <v>501</v>
      </c>
      <c r="B42" s="10" t="n">
        <v>1</v>
      </c>
      <c r="C42" s="30" t="s">
        <v>19</v>
      </c>
      <c r="D42" s="10" t="s">
        <v>503</v>
      </c>
    </row>
    <row r="43" customFormat="false" ht="15" hidden="false" customHeight="false" outlineLevel="0" collapsed="false">
      <c r="A43" s="10" t="s">
        <v>498</v>
      </c>
      <c r="B43" s="10" t="n">
        <v>1</v>
      </c>
      <c r="C43" s="29" t="s">
        <v>17</v>
      </c>
      <c r="D43" s="10"/>
    </row>
    <row r="44" customFormat="false" ht="15" hidden="false" customHeight="false" outlineLevel="0" collapsed="false">
      <c r="A44" s="10" t="s">
        <v>486</v>
      </c>
      <c r="B44" s="10" t="n">
        <v>1</v>
      </c>
      <c r="C44" s="29" t="s">
        <v>17</v>
      </c>
      <c r="D44" s="10"/>
    </row>
    <row r="45" customFormat="false" ht="15" hidden="false" customHeight="false" outlineLevel="0" collapsed="false">
      <c r="A45" s="10" t="s">
        <v>490</v>
      </c>
      <c r="B45" s="10" t="n">
        <v>1</v>
      </c>
      <c r="C45" s="29" t="s">
        <v>17</v>
      </c>
      <c r="D45" s="10"/>
    </row>
    <row r="46" customFormat="false" ht="15" hidden="false" customHeight="false" outlineLevel="0" collapsed="false">
      <c r="A46" s="10" t="s">
        <v>482</v>
      </c>
      <c r="B46" s="10" t="n">
        <v>1</v>
      </c>
      <c r="C46" s="28" t="s">
        <v>21</v>
      </c>
      <c r="D46" s="10" t="s">
        <v>461</v>
      </c>
    </row>
    <row r="47" customFormat="false" ht="15" hidden="false" customHeight="false" outlineLevel="0" collapsed="false">
      <c r="A47" s="10" t="s">
        <v>446</v>
      </c>
      <c r="B47" s="10" t="n">
        <v>1</v>
      </c>
      <c r="C47" s="28" t="s">
        <v>21</v>
      </c>
      <c r="D47" s="10" t="s">
        <v>427</v>
      </c>
    </row>
    <row r="48" customFormat="false" ht="15" hidden="false" customHeight="false" outlineLevel="0" collapsed="false">
      <c r="A48" s="10" t="s">
        <v>218</v>
      </c>
      <c r="B48" s="10" t="n">
        <v>2</v>
      </c>
      <c r="C48" s="29" t="s">
        <v>17</v>
      </c>
      <c r="D48" s="10"/>
    </row>
    <row r="49" customFormat="false" ht="23.85" hidden="false" customHeight="false" outlineLevel="0" collapsed="false">
      <c r="A49" s="10" t="s">
        <v>213</v>
      </c>
      <c r="B49" s="10" t="n">
        <v>2</v>
      </c>
      <c r="C49" s="32" t="s">
        <v>27</v>
      </c>
      <c r="D49" s="10" t="s">
        <v>215</v>
      </c>
    </row>
    <row r="50" customFormat="false" ht="15" hidden="false" customHeight="false" outlineLevel="0" collapsed="false">
      <c r="A50" s="10" t="s">
        <v>210</v>
      </c>
      <c r="B50" s="10" t="n">
        <v>2</v>
      </c>
      <c r="C50" s="28" t="s">
        <v>21</v>
      </c>
      <c r="D50" s="10" t="s">
        <v>74</v>
      </c>
    </row>
    <row r="51" customFormat="false" ht="15" hidden="false" customHeight="false" outlineLevel="0" collapsed="false">
      <c r="A51" s="10" t="s">
        <v>363</v>
      </c>
      <c r="B51" s="10" t="n">
        <v>2</v>
      </c>
      <c r="C51" s="32" t="s">
        <v>27</v>
      </c>
      <c r="D51" s="10" t="s">
        <v>365</v>
      </c>
    </row>
    <row r="52" customFormat="false" ht="15" hidden="false" customHeight="false" outlineLevel="0" collapsed="false">
      <c r="A52" s="10" t="s">
        <v>368</v>
      </c>
      <c r="B52" s="10" t="n">
        <v>2</v>
      </c>
      <c r="C52" s="29" t="s">
        <v>17</v>
      </c>
      <c r="D52" s="10"/>
    </row>
    <row r="53" customFormat="false" ht="15" hidden="false" customHeight="false" outlineLevel="0" collapsed="false">
      <c r="A53" s="10" t="s">
        <v>358</v>
      </c>
      <c r="B53" s="10" t="n">
        <v>2</v>
      </c>
      <c r="C53" s="30" t="s">
        <v>19</v>
      </c>
      <c r="D53" s="10" t="s">
        <v>360</v>
      </c>
    </row>
    <row r="54" customFormat="false" ht="15" hidden="false" customHeight="false" outlineLevel="0" collapsed="false">
      <c r="A54" s="10" t="s">
        <v>570</v>
      </c>
      <c r="B54" s="10" t="n">
        <v>2</v>
      </c>
      <c r="C54" s="30" t="s">
        <v>19</v>
      </c>
      <c r="D54" s="10" t="s">
        <v>572</v>
      </c>
    </row>
    <row r="55" customFormat="false" ht="15" hidden="false" customHeight="false" outlineLevel="0" collapsed="false">
      <c r="A55" s="10" t="s">
        <v>471</v>
      </c>
      <c r="B55" s="10" t="n">
        <v>2</v>
      </c>
      <c r="C55" s="29" t="s">
        <v>17</v>
      </c>
      <c r="D55" s="10"/>
    </row>
    <row r="56" customFormat="false" ht="15" hidden="false" customHeight="false" outlineLevel="0" collapsed="false">
      <c r="A56" s="10" t="s">
        <v>438</v>
      </c>
      <c r="B56" s="10" t="n">
        <v>2</v>
      </c>
      <c r="C56" s="28" t="s">
        <v>21</v>
      </c>
      <c r="D56" s="10" t="s">
        <v>425</v>
      </c>
    </row>
    <row r="57" customFormat="false" ht="15" hidden="false" customHeight="false" outlineLevel="0" collapsed="false">
      <c r="A57" s="10" t="s">
        <v>442</v>
      </c>
      <c r="B57" s="10" t="n">
        <v>2</v>
      </c>
      <c r="C57" s="28" t="s">
        <v>21</v>
      </c>
      <c r="D57" s="10" t="s">
        <v>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5"/>
    <col collapsed="false" customWidth="true" hidden="false" outlineLevel="0" max="3" min="3" style="0" width="25"/>
    <col collapsed="false" customWidth="true" hidden="false" outlineLevel="0" max="4" min="4" style="0" width="100"/>
  </cols>
  <sheetData>
    <row r="1" customFormat="false" ht="17.35" hidden="false" customHeight="false" outlineLevel="0" collapsed="false">
      <c r="A1" s="1" t="s">
        <v>641</v>
      </c>
    </row>
    <row r="2" customFormat="false" ht="15" hidden="false" customHeight="false" outlineLevel="0" collapsed="false">
      <c r="A2" s="2" t="s">
        <v>642</v>
      </c>
    </row>
    <row r="4" customFormat="false" ht="24" hidden="false" customHeight="true" outlineLevel="0" collapsed="false">
      <c r="A4" s="21" t="s">
        <v>50</v>
      </c>
      <c r="B4" s="21" t="s">
        <v>588</v>
      </c>
      <c r="C4" s="21" t="s">
        <v>590</v>
      </c>
      <c r="D4" s="21" t="s">
        <v>643</v>
      </c>
    </row>
    <row r="5" customFormat="false" ht="46.25" hidden="false" customHeight="false" outlineLevel="0" collapsed="false">
      <c r="A5" s="10" t="s">
        <v>60</v>
      </c>
      <c r="B5" s="10" t="n">
        <v>1</v>
      </c>
      <c r="C5" s="10" t="s">
        <v>644</v>
      </c>
      <c r="D5" s="10" t="s">
        <v>645</v>
      </c>
    </row>
    <row r="6" customFormat="false" ht="35.05" hidden="false" customHeight="false" outlineLevel="0" collapsed="false">
      <c r="A6" s="10"/>
      <c r="B6" s="10" t="n">
        <v>2</v>
      </c>
      <c r="C6" s="10" t="s">
        <v>646</v>
      </c>
      <c r="D6" s="10" t="s">
        <v>647</v>
      </c>
    </row>
    <row r="7" customFormat="false" ht="35.05" hidden="false" customHeight="false" outlineLevel="0" collapsed="false">
      <c r="A7" s="10"/>
      <c r="B7" s="10" t="n">
        <v>3</v>
      </c>
      <c r="C7" s="10" t="s">
        <v>648</v>
      </c>
      <c r="D7" s="10" t="s">
        <v>649</v>
      </c>
    </row>
    <row r="8" customFormat="false" ht="35.05" hidden="false" customHeight="false" outlineLevel="0" collapsed="false">
      <c r="A8" s="10" t="s">
        <v>66</v>
      </c>
      <c r="B8" s="10" t="n">
        <v>1</v>
      </c>
      <c r="C8" s="10" t="s">
        <v>646</v>
      </c>
      <c r="D8" s="10" t="s">
        <v>647</v>
      </c>
    </row>
    <row r="9" customFormat="false" ht="35.05" hidden="false" customHeight="false" outlineLevel="0" collapsed="false">
      <c r="A9" s="10"/>
      <c r="B9" s="10" t="n">
        <v>2</v>
      </c>
      <c r="C9" s="10" t="s">
        <v>650</v>
      </c>
      <c r="D9" s="10" t="s">
        <v>651</v>
      </c>
    </row>
    <row r="10" customFormat="false" ht="35.05" hidden="false" customHeight="false" outlineLevel="0" collapsed="false">
      <c r="A10" s="10"/>
      <c r="B10" s="10" t="n">
        <v>3</v>
      </c>
      <c r="C10" s="10" t="s">
        <v>604</v>
      </c>
      <c r="D10" s="10" t="s">
        <v>652</v>
      </c>
    </row>
    <row r="11" customFormat="false" ht="35.05" hidden="false" customHeight="false" outlineLevel="0" collapsed="false">
      <c r="A11" s="10" t="s">
        <v>71</v>
      </c>
      <c r="B11" s="10" t="n">
        <v>1</v>
      </c>
      <c r="C11" s="10" t="s">
        <v>646</v>
      </c>
      <c r="D11" s="10" t="s">
        <v>647</v>
      </c>
    </row>
    <row r="12" customFormat="false" ht="46.25" hidden="false" customHeight="false" outlineLevel="0" collapsed="false">
      <c r="A12" s="10"/>
      <c r="B12" s="10" t="n">
        <v>2</v>
      </c>
      <c r="C12" s="10" t="s">
        <v>653</v>
      </c>
      <c r="D12" s="10" t="s">
        <v>654</v>
      </c>
    </row>
    <row r="13" customFormat="false" ht="35.05" hidden="false" customHeight="false" outlineLevel="0" collapsed="false">
      <c r="A13" s="10"/>
      <c r="B13" s="10" t="n">
        <v>3</v>
      </c>
      <c r="C13" s="10" t="s">
        <v>655</v>
      </c>
      <c r="D13" s="10" t="s">
        <v>656</v>
      </c>
    </row>
    <row r="14" customFormat="false" ht="35.05" hidden="false" customHeight="false" outlineLevel="0" collapsed="false">
      <c r="A14" s="10" t="s">
        <v>74</v>
      </c>
      <c r="B14" s="10" t="n">
        <v>1</v>
      </c>
      <c r="C14" s="10" t="s">
        <v>657</v>
      </c>
      <c r="D14" s="10" t="s">
        <v>658</v>
      </c>
    </row>
    <row r="15" customFormat="false" ht="35.05" hidden="false" customHeight="false" outlineLevel="0" collapsed="false">
      <c r="A15" s="10"/>
      <c r="B15" s="10" t="n">
        <v>2</v>
      </c>
      <c r="C15" s="10" t="s">
        <v>659</v>
      </c>
      <c r="D15" s="10" t="s">
        <v>660</v>
      </c>
    </row>
    <row r="16" customFormat="false" ht="23.85" hidden="false" customHeight="false" outlineLevel="0" collapsed="false">
      <c r="A16" s="10"/>
      <c r="B16" s="10" t="n">
        <v>3</v>
      </c>
      <c r="C16" s="10" t="s">
        <v>653</v>
      </c>
      <c r="D16" s="10" t="s">
        <v>661</v>
      </c>
    </row>
    <row r="17" customFormat="false" ht="35.05" hidden="false" customHeight="false" outlineLevel="0" collapsed="false">
      <c r="A17" s="10" t="s">
        <v>79</v>
      </c>
      <c r="B17" s="10" t="n">
        <v>1</v>
      </c>
      <c r="C17" s="10" t="s">
        <v>604</v>
      </c>
      <c r="D17" s="10" t="s">
        <v>662</v>
      </c>
    </row>
    <row r="18" customFormat="false" ht="35.05" hidden="false" customHeight="false" outlineLevel="0" collapsed="false">
      <c r="A18" s="10"/>
      <c r="B18" s="10" t="n">
        <v>2</v>
      </c>
      <c r="C18" s="10" t="s">
        <v>644</v>
      </c>
      <c r="D18" s="10" t="s">
        <v>663</v>
      </c>
    </row>
    <row r="19" customFormat="false" ht="15" hidden="false" customHeight="false" outlineLevel="0" collapsed="false">
      <c r="A19" s="10"/>
      <c r="B19" s="10" t="n">
        <v>3</v>
      </c>
      <c r="C19" s="10" t="s">
        <v>664</v>
      </c>
      <c r="D19" s="10" t="s">
        <v>665</v>
      </c>
    </row>
    <row r="20" customFormat="false" ht="35.05" hidden="false" customHeight="false" outlineLevel="0" collapsed="false">
      <c r="A20" s="10" t="s">
        <v>83</v>
      </c>
      <c r="B20" s="10" t="n">
        <v>1</v>
      </c>
      <c r="C20" s="10" t="s">
        <v>659</v>
      </c>
      <c r="D20" s="10" t="s">
        <v>666</v>
      </c>
    </row>
    <row r="21" customFormat="false" ht="35.05" hidden="false" customHeight="false" outlineLevel="0" collapsed="false">
      <c r="A21" s="10"/>
      <c r="B21" s="10" t="n">
        <v>2</v>
      </c>
      <c r="C21" s="10" t="s">
        <v>595</v>
      </c>
      <c r="D21" s="10" t="s">
        <v>667</v>
      </c>
    </row>
    <row r="22" customFormat="false" ht="23.85" hidden="false" customHeight="false" outlineLevel="0" collapsed="false">
      <c r="A22" s="10"/>
      <c r="B22" s="10" t="n">
        <v>3</v>
      </c>
      <c r="C22" s="10" t="s">
        <v>668</v>
      </c>
      <c r="D22" s="10" t="s">
        <v>669</v>
      </c>
    </row>
    <row r="23" customFormat="false" ht="35.05" hidden="false" customHeight="false" outlineLevel="0" collapsed="false">
      <c r="A23" s="10" t="s">
        <v>87</v>
      </c>
      <c r="B23" s="10" t="n">
        <v>1</v>
      </c>
      <c r="C23" s="10" t="s">
        <v>604</v>
      </c>
      <c r="D23" s="10" t="s">
        <v>662</v>
      </c>
    </row>
    <row r="24" customFormat="false" ht="35.05" hidden="false" customHeight="false" outlineLevel="0" collapsed="false">
      <c r="A24" s="10"/>
      <c r="B24" s="10" t="n">
        <v>2</v>
      </c>
      <c r="C24" s="10" t="s">
        <v>659</v>
      </c>
      <c r="D24" s="10" t="s">
        <v>660</v>
      </c>
    </row>
    <row r="25" customFormat="false" ht="23.85" hidden="false" customHeight="false" outlineLevel="0" collapsed="false">
      <c r="A25" s="10"/>
      <c r="B25" s="10" t="n">
        <v>3</v>
      </c>
      <c r="C25" s="10" t="s">
        <v>604</v>
      </c>
      <c r="D25" s="10" t="s">
        <v>670</v>
      </c>
    </row>
    <row r="26" customFormat="false" ht="35.05" hidden="false" customHeight="false" outlineLevel="0" collapsed="false">
      <c r="A26" s="10" t="s">
        <v>91</v>
      </c>
      <c r="B26" s="10" t="n">
        <v>1</v>
      </c>
      <c r="C26" s="10" t="s">
        <v>671</v>
      </c>
      <c r="D26" s="10" t="s">
        <v>672</v>
      </c>
    </row>
    <row r="27" customFormat="false" ht="35.05" hidden="false" customHeight="false" outlineLevel="0" collapsed="false">
      <c r="A27" s="10"/>
      <c r="B27" s="10" t="n">
        <v>2</v>
      </c>
      <c r="C27" s="10" t="s">
        <v>673</v>
      </c>
      <c r="D27" s="10" t="s">
        <v>674</v>
      </c>
    </row>
    <row r="28" customFormat="false" ht="15" hidden="false" customHeight="false" outlineLevel="0" collapsed="false">
      <c r="A28" s="10"/>
      <c r="B28" s="10" t="n">
        <v>3</v>
      </c>
      <c r="C28" s="10" t="s">
        <v>595</v>
      </c>
      <c r="D28" s="10" t="s">
        <v>675</v>
      </c>
    </row>
    <row r="29" customFormat="false" ht="46.25" hidden="false" customHeight="false" outlineLevel="0" collapsed="false">
      <c r="A29" s="10" t="s">
        <v>95</v>
      </c>
      <c r="B29" s="10" t="n">
        <v>1</v>
      </c>
      <c r="C29" s="10" t="s">
        <v>676</v>
      </c>
      <c r="D29" s="10" t="s">
        <v>677</v>
      </c>
    </row>
    <row r="30" customFormat="false" ht="35.05" hidden="false" customHeight="false" outlineLevel="0" collapsed="false">
      <c r="A30" s="10"/>
      <c r="B30" s="10" t="n">
        <v>2</v>
      </c>
      <c r="C30" s="10" t="s">
        <v>678</v>
      </c>
      <c r="D30" s="10" t="s">
        <v>679</v>
      </c>
    </row>
    <row r="31" customFormat="false" ht="15" hidden="false" customHeight="false" outlineLevel="0" collapsed="false">
      <c r="A31" s="10"/>
      <c r="B31" s="10" t="n">
        <v>3</v>
      </c>
      <c r="C31" s="10" t="s">
        <v>680</v>
      </c>
      <c r="D31" s="10" t="s">
        <v>681</v>
      </c>
    </row>
    <row r="32" customFormat="false" ht="35.05" hidden="false" customHeight="false" outlineLevel="0" collapsed="false">
      <c r="A32" s="10" t="s">
        <v>99</v>
      </c>
      <c r="B32" s="10" t="n">
        <v>1</v>
      </c>
      <c r="C32" s="10" t="s">
        <v>676</v>
      </c>
      <c r="D32" s="10" t="s">
        <v>682</v>
      </c>
    </row>
    <row r="33" customFormat="false" ht="35.05" hidden="false" customHeight="false" outlineLevel="0" collapsed="false">
      <c r="A33" s="10"/>
      <c r="B33" s="10" t="n">
        <v>2</v>
      </c>
      <c r="C33" s="10" t="s">
        <v>678</v>
      </c>
      <c r="D33" s="10" t="s">
        <v>683</v>
      </c>
    </row>
    <row r="34" customFormat="false" ht="15" hidden="false" customHeight="false" outlineLevel="0" collapsed="false">
      <c r="A34" s="10"/>
      <c r="B34" s="10" t="n">
        <v>3</v>
      </c>
      <c r="C34" s="10" t="s">
        <v>671</v>
      </c>
      <c r="D34" s="10" t="s">
        <v>684</v>
      </c>
    </row>
    <row r="35" customFormat="false" ht="35.05" hidden="false" customHeight="false" outlineLevel="0" collapsed="false">
      <c r="A35" s="10" t="s">
        <v>103</v>
      </c>
      <c r="B35" s="10" t="n">
        <v>1</v>
      </c>
      <c r="C35" s="10" t="s">
        <v>657</v>
      </c>
      <c r="D35" s="10" t="s">
        <v>658</v>
      </c>
    </row>
    <row r="36" customFormat="false" ht="46.25" hidden="false" customHeight="false" outlineLevel="0" collapsed="false">
      <c r="A36" s="10"/>
      <c r="B36" s="10" t="n">
        <v>2</v>
      </c>
      <c r="C36" s="10" t="s">
        <v>648</v>
      </c>
      <c r="D36" s="10" t="s">
        <v>685</v>
      </c>
    </row>
    <row r="37" customFormat="false" ht="35.05" hidden="false" customHeight="false" outlineLevel="0" collapsed="false">
      <c r="A37" s="10"/>
      <c r="B37" s="10" t="n">
        <v>3</v>
      </c>
      <c r="C37" s="10" t="s">
        <v>609</v>
      </c>
      <c r="D37" s="10" t="s">
        <v>686</v>
      </c>
    </row>
    <row r="38" customFormat="false" ht="35.05" hidden="false" customHeight="false" outlineLevel="0" collapsed="false">
      <c r="A38" s="10" t="s">
        <v>106</v>
      </c>
      <c r="B38" s="10" t="n">
        <v>1</v>
      </c>
      <c r="C38" s="10" t="s">
        <v>604</v>
      </c>
      <c r="D38" s="10" t="s">
        <v>687</v>
      </c>
    </row>
    <row r="39" customFormat="false" ht="46.25" hidden="false" customHeight="false" outlineLevel="0" collapsed="false">
      <c r="A39" s="10"/>
      <c r="B39" s="10" t="n">
        <v>2</v>
      </c>
      <c r="C39" s="10" t="s">
        <v>648</v>
      </c>
      <c r="D39" s="10" t="s">
        <v>685</v>
      </c>
    </row>
    <row r="40" customFormat="false" ht="35.05" hidden="false" customHeight="false" outlineLevel="0" collapsed="false">
      <c r="A40" s="10"/>
      <c r="B40" s="10" t="n">
        <v>3</v>
      </c>
      <c r="C40" s="10" t="s">
        <v>659</v>
      </c>
      <c r="D40" s="10" t="s">
        <v>688</v>
      </c>
    </row>
    <row r="41" customFormat="false" ht="35.05" hidden="false" customHeight="false" outlineLevel="0" collapsed="false">
      <c r="A41" s="10" t="s">
        <v>110</v>
      </c>
      <c r="B41" s="10" t="n">
        <v>1</v>
      </c>
      <c r="C41" s="10" t="s">
        <v>671</v>
      </c>
      <c r="D41" s="10" t="s">
        <v>689</v>
      </c>
    </row>
    <row r="42" customFormat="false" ht="35.05" hidden="false" customHeight="false" outlineLevel="0" collapsed="false">
      <c r="A42" s="10"/>
      <c r="B42" s="10" t="n">
        <v>2</v>
      </c>
      <c r="C42" s="10" t="s">
        <v>690</v>
      </c>
      <c r="D42" s="10" t="s">
        <v>691</v>
      </c>
    </row>
    <row r="43" customFormat="false" ht="35.05" hidden="false" customHeight="false" outlineLevel="0" collapsed="false">
      <c r="A43" s="10"/>
      <c r="B43" s="10" t="n">
        <v>3</v>
      </c>
      <c r="C43" s="10" t="s">
        <v>692</v>
      </c>
      <c r="D43" s="10" t="s">
        <v>693</v>
      </c>
    </row>
    <row r="44" customFormat="false" ht="35.05" hidden="false" customHeight="false" outlineLevel="0" collapsed="false">
      <c r="A44" s="10" t="s">
        <v>114</v>
      </c>
      <c r="B44" s="10" t="n">
        <v>1</v>
      </c>
      <c r="C44" s="10" t="s">
        <v>655</v>
      </c>
      <c r="D44" s="10" t="s">
        <v>694</v>
      </c>
    </row>
    <row r="45" customFormat="false" ht="35.05" hidden="false" customHeight="false" outlineLevel="0" collapsed="false">
      <c r="A45" s="10"/>
      <c r="B45" s="10" t="n">
        <v>2</v>
      </c>
      <c r="C45" s="10" t="s">
        <v>671</v>
      </c>
      <c r="D45" s="10" t="s">
        <v>695</v>
      </c>
    </row>
    <row r="46" customFormat="false" ht="35.05" hidden="false" customHeight="false" outlineLevel="0" collapsed="false">
      <c r="A46" s="10"/>
      <c r="B46" s="10" t="n">
        <v>3</v>
      </c>
      <c r="C46" s="10" t="s">
        <v>696</v>
      </c>
      <c r="D46" s="10" t="s">
        <v>697</v>
      </c>
    </row>
    <row r="47" customFormat="false" ht="35.05" hidden="false" customHeight="false" outlineLevel="0" collapsed="false">
      <c r="A47" s="10" t="s">
        <v>118</v>
      </c>
      <c r="B47" s="10" t="n">
        <v>1</v>
      </c>
      <c r="C47" s="10" t="s">
        <v>698</v>
      </c>
      <c r="D47" s="10" t="s">
        <v>699</v>
      </c>
    </row>
    <row r="48" customFormat="false" ht="35.05" hidden="false" customHeight="false" outlineLevel="0" collapsed="false">
      <c r="A48" s="10"/>
      <c r="B48" s="10" t="n">
        <v>2</v>
      </c>
      <c r="C48" s="10" t="s">
        <v>680</v>
      </c>
      <c r="D48" s="10" t="s">
        <v>700</v>
      </c>
    </row>
    <row r="49" customFormat="false" ht="23.85" hidden="false" customHeight="false" outlineLevel="0" collapsed="false">
      <c r="A49" s="10"/>
      <c r="B49" s="10" t="n">
        <v>3</v>
      </c>
      <c r="C49" s="10" t="s">
        <v>604</v>
      </c>
      <c r="D49" s="10" t="s">
        <v>701</v>
      </c>
    </row>
    <row r="50" customFormat="false" ht="35.05" hidden="false" customHeight="false" outlineLevel="0" collapsed="false">
      <c r="A50" s="10" t="s">
        <v>122</v>
      </c>
      <c r="B50" s="10" t="n">
        <v>1</v>
      </c>
      <c r="C50" s="10" t="s">
        <v>673</v>
      </c>
      <c r="D50" s="10" t="s">
        <v>702</v>
      </c>
    </row>
    <row r="51" customFormat="false" ht="35.05" hidden="false" customHeight="false" outlineLevel="0" collapsed="false">
      <c r="A51" s="10"/>
      <c r="B51" s="10" t="n">
        <v>2</v>
      </c>
      <c r="C51" s="10" t="s">
        <v>703</v>
      </c>
      <c r="D51" s="10" t="s">
        <v>704</v>
      </c>
    </row>
    <row r="52" customFormat="false" ht="23.85" hidden="false" customHeight="false" outlineLevel="0" collapsed="false">
      <c r="A52" s="10"/>
      <c r="B52" s="10" t="n">
        <v>3</v>
      </c>
      <c r="C52" s="10" t="s">
        <v>604</v>
      </c>
      <c r="D52" s="10" t="s">
        <v>705</v>
      </c>
    </row>
    <row r="53" customFormat="false" ht="35.05" hidden="false" customHeight="false" outlineLevel="0" collapsed="false">
      <c r="A53" s="10" t="s">
        <v>127</v>
      </c>
      <c r="B53" s="10" t="n">
        <v>1</v>
      </c>
      <c r="C53" s="10" t="s">
        <v>706</v>
      </c>
      <c r="D53" s="10" t="s">
        <v>707</v>
      </c>
    </row>
    <row r="54" customFormat="false" ht="35.05" hidden="false" customHeight="false" outlineLevel="0" collapsed="false">
      <c r="A54" s="10"/>
      <c r="B54" s="10" t="n">
        <v>2</v>
      </c>
      <c r="C54" s="10" t="s">
        <v>703</v>
      </c>
      <c r="D54" s="10" t="s">
        <v>708</v>
      </c>
    </row>
    <row r="55" customFormat="false" ht="23.85" hidden="false" customHeight="false" outlineLevel="0" collapsed="false">
      <c r="A55" s="10"/>
      <c r="B55" s="10" t="n">
        <v>3</v>
      </c>
      <c r="C55" s="10" t="s">
        <v>673</v>
      </c>
      <c r="D55" s="10" t="s">
        <v>709</v>
      </c>
    </row>
    <row r="56" customFormat="false" ht="35.05" hidden="false" customHeight="false" outlineLevel="0" collapsed="false">
      <c r="A56" s="10" t="s">
        <v>131</v>
      </c>
      <c r="B56" s="10" t="n">
        <v>1</v>
      </c>
      <c r="C56" s="10" t="s">
        <v>696</v>
      </c>
      <c r="D56" s="10" t="s">
        <v>710</v>
      </c>
    </row>
    <row r="57" customFormat="false" ht="35.05" hidden="false" customHeight="false" outlineLevel="0" collapsed="false">
      <c r="A57" s="10"/>
      <c r="B57" s="10" t="n">
        <v>2</v>
      </c>
      <c r="C57" s="10" t="s">
        <v>604</v>
      </c>
      <c r="D57" s="10" t="s">
        <v>711</v>
      </c>
    </row>
    <row r="58" customFormat="false" ht="35.05" hidden="false" customHeight="false" outlineLevel="0" collapsed="false">
      <c r="A58" s="10"/>
      <c r="B58" s="10" t="n">
        <v>3</v>
      </c>
      <c r="C58" s="10" t="s">
        <v>659</v>
      </c>
      <c r="D58" s="10" t="s">
        <v>712</v>
      </c>
    </row>
    <row r="59" customFormat="false" ht="35.05" hidden="false" customHeight="false" outlineLevel="0" collapsed="false">
      <c r="A59" s="10" t="s">
        <v>135</v>
      </c>
      <c r="B59" s="10" t="n">
        <v>1</v>
      </c>
      <c r="C59" s="10" t="s">
        <v>703</v>
      </c>
      <c r="D59" s="10" t="s">
        <v>704</v>
      </c>
    </row>
    <row r="60" customFormat="false" ht="35.05" hidden="false" customHeight="false" outlineLevel="0" collapsed="false">
      <c r="A60" s="10"/>
      <c r="B60" s="10" t="n">
        <v>2</v>
      </c>
      <c r="C60" s="10" t="s">
        <v>595</v>
      </c>
      <c r="D60" s="10" t="s">
        <v>713</v>
      </c>
    </row>
    <row r="61" customFormat="false" ht="35.05" hidden="false" customHeight="false" outlineLevel="0" collapsed="false">
      <c r="A61" s="10"/>
      <c r="B61" s="10" t="n">
        <v>3</v>
      </c>
      <c r="C61" s="10" t="s">
        <v>678</v>
      </c>
      <c r="D61" s="10" t="s">
        <v>683</v>
      </c>
    </row>
    <row r="62" customFormat="false" ht="35.05" hidden="false" customHeight="false" outlineLevel="0" collapsed="false">
      <c r="A62" s="10" t="s">
        <v>139</v>
      </c>
      <c r="B62" s="10" t="n">
        <v>1</v>
      </c>
      <c r="C62" s="10" t="s">
        <v>703</v>
      </c>
      <c r="D62" s="10" t="s">
        <v>708</v>
      </c>
    </row>
    <row r="63" customFormat="false" ht="35.05" hidden="false" customHeight="false" outlineLevel="0" collapsed="false">
      <c r="A63" s="10"/>
      <c r="B63" s="10" t="n">
        <v>2</v>
      </c>
      <c r="C63" s="10" t="s">
        <v>703</v>
      </c>
      <c r="D63" s="10" t="s">
        <v>714</v>
      </c>
    </row>
    <row r="64" customFormat="false" ht="23.85" hidden="false" customHeight="false" outlineLevel="0" collapsed="false">
      <c r="A64" s="10"/>
      <c r="B64" s="10" t="n">
        <v>3</v>
      </c>
      <c r="C64" s="10" t="s">
        <v>698</v>
      </c>
      <c r="D64" s="10" t="s">
        <v>715</v>
      </c>
    </row>
    <row r="65" customFormat="false" ht="35.05" hidden="false" customHeight="false" outlineLevel="0" collapsed="false">
      <c r="A65" s="10" t="s">
        <v>144</v>
      </c>
      <c r="B65" s="10" t="n">
        <v>1</v>
      </c>
      <c r="C65" s="10" t="s">
        <v>657</v>
      </c>
      <c r="D65" s="10" t="s">
        <v>716</v>
      </c>
    </row>
    <row r="66" customFormat="false" ht="35.05" hidden="false" customHeight="false" outlineLevel="0" collapsed="false">
      <c r="A66" s="10"/>
      <c r="B66" s="10" t="n">
        <v>2</v>
      </c>
      <c r="C66" s="10" t="s">
        <v>703</v>
      </c>
      <c r="D66" s="10" t="s">
        <v>714</v>
      </c>
    </row>
    <row r="67" customFormat="false" ht="23.85" hidden="false" customHeight="false" outlineLevel="0" collapsed="false">
      <c r="A67" s="10"/>
      <c r="B67" s="10" t="n">
        <v>3</v>
      </c>
      <c r="C67" s="10" t="s">
        <v>664</v>
      </c>
      <c r="D67" s="10" t="s">
        <v>717</v>
      </c>
    </row>
    <row r="68" customFormat="false" ht="46.25" hidden="false" customHeight="false" outlineLevel="0" collapsed="false">
      <c r="A68" s="10" t="s">
        <v>148</v>
      </c>
      <c r="B68" s="10" t="n">
        <v>1</v>
      </c>
      <c r="C68" s="10" t="s">
        <v>653</v>
      </c>
      <c r="D68" s="10" t="s">
        <v>654</v>
      </c>
    </row>
    <row r="69" customFormat="false" ht="35.05" hidden="false" customHeight="false" outlineLevel="0" collapsed="false">
      <c r="A69" s="10"/>
      <c r="B69" s="10" t="n">
        <v>2</v>
      </c>
      <c r="C69" s="10" t="s">
        <v>676</v>
      </c>
      <c r="D69" s="10" t="s">
        <v>718</v>
      </c>
    </row>
    <row r="70" customFormat="false" ht="35.05" hidden="false" customHeight="false" outlineLevel="0" collapsed="false">
      <c r="A70" s="10"/>
      <c r="B70" s="10" t="n">
        <v>3</v>
      </c>
      <c r="C70" s="10" t="s">
        <v>671</v>
      </c>
      <c r="D70" s="10" t="s">
        <v>719</v>
      </c>
    </row>
    <row r="71" customFormat="false" ht="46.25" hidden="false" customHeight="false" outlineLevel="0" collapsed="false">
      <c r="A71" s="10" t="s">
        <v>152</v>
      </c>
      <c r="B71" s="10" t="n">
        <v>1</v>
      </c>
      <c r="C71" s="10" t="s">
        <v>648</v>
      </c>
      <c r="D71" s="10" t="s">
        <v>685</v>
      </c>
    </row>
    <row r="72" customFormat="false" ht="35.05" hidden="false" customHeight="false" outlineLevel="0" collapsed="false">
      <c r="A72" s="10"/>
      <c r="B72" s="10" t="n">
        <v>2</v>
      </c>
      <c r="C72" s="10" t="s">
        <v>650</v>
      </c>
      <c r="D72" s="10" t="s">
        <v>720</v>
      </c>
    </row>
    <row r="73" customFormat="false" ht="23.85" hidden="false" customHeight="false" outlineLevel="0" collapsed="false">
      <c r="A73" s="10"/>
      <c r="B73" s="10" t="n">
        <v>3</v>
      </c>
      <c r="C73" s="10" t="s">
        <v>601</v>
      </c>
      <c r="D73" s="10" t="s">
        <v>721</v>
      </c>
    </row>
    <row r="74" customFormat="false" ht="35.05" hidden="false" customHeight="false" outlineLevel="0" collapsed="false">
      <c r="A74" s="10" t="s">
        <v>157</v>
      </c>
      <c r="B74" s="10" t="n">
        <v>1</v>
      </c>
      <c r="C74" s="10" t="s">
        <v>659</v>
      </c>
      <c r="D74" s="10" t="s">
        <v>660</v>
      </c>
    </row>
    <row r="75" customFormat="false" ht="35.05" hidden="false" customHeight="false" outlineLevel="0" collapsed="false">
      <c r="A75" s="10"/>
      <c r="B75" s="10" t="n">
        <v>2</v>
      </c>
      <c r="C75" s="10" t="s">
        <v>706</v>
      </c>
      <c r="D75" s="10" t="s">
        <v>722</v>
      </c>
    </row>
    <row r="76" customFormat="false" ht="23.85" hidden="false" customHeight="false" outlineLevel="0" collapsed="false">
      <c r="A76" s="10"/>
      <c r="B76" s="10" t="n">
        <v>3</v>
      </c>
      <c r="C76" s="10" t="s">
        <v>659</v>
      </c>
      <c r="D76" s="10" t="s">
        <v>723</v>
      </c>
    </row>
    <row r="77" customFormat="false" ht="35.05" hidden="false" customHeight="false" outlineLevel="0" collapsed="false">
      <c r="A77" s="10" t="s">
        <v>161</v>
      </c>
      <c r="B77" s="10" t="n">
        <v>1</v>
      </c>
      <c r="C77" s="10" t="s">
        <v>724</v>
      </c>
      <c r="D77" s="10" t="s">
        <v>725</v>
      </c>
    </row>
    <row r="78" customFormat="false" ht="35.05" hidden="false" customHeight="false" outlineLevel="0" collapsed="false">
      <c r="A78" s="10"/>
      <c r="B78" s="10" t="n">
        <v>2</v>
      </c>
      <c r="C78" s="10" t="s">
        <v>671</v>
      </c>
      <c r="D78" s="10" t="s">
        <v>726</v>
      </c>
    </row>
    <row r="79" customFormat="false" ht="23.85" hidden="false" customHeight="false" outlineLevel="0" collapsed="false">
      <c r="A79" s="10"/>
      <c r="B79" s="10" t="n">
        <v>3</v>
      </c>
      <c r="C79" s="10" t="s">
        <v>676</v>
      </c>
      <c r="D79" s="10" t="s">
        <v>727</v>
      </c>
    </row>
    <row r="80" customFormat="false" ht="35.05" hidden="false" customHeight="false" outlineLevel="0" collapsed="false">
      <c r="A80" s="10" t="s">
        <v>165</v>
      </c>
      <c r="B80" s="10" t="n">
        <v>1</v>
      </c>
      <c r="C80" s="10" t="s">
        <v>659</v>
      </c>
      <c r="D80" s="10" t="s">
        <v>666</v>
      </c>
    </row>
    <row r="81" customFormat="false" ht="35.05" hidden="false" customHeight="false" outlineLevel="0" collapsed="false">
      <c r="A81" s="10"/>
      <c r="B81" s="10" t="n">
        <v>2</v>
      </c>
      <c r="C81" s="10" t="s">
        <v>668</v>
      </c>
      <c r="D81" s="10" t="s">
        <v>728</v>
      </c>
    </row>
    <row r="82" customFormat="false" ht="35.05" hidden="false" customHeight="false" outlineLevel="0" collapsed="false">
      <c r="A82" s="10"/>
      <c r="B82" s="10" t="n">
        <v>3</v>
      </c>
      <c r="C82" s="10" t="s">
        <v>724</v>
      </c>
      <c r="D82" s="10" t="s">
        <v>725</v>
      </c>
    </row>
    <row r="83" customFormat="false" ht="46.25" hidden="false" customHeight="false" outlineLevel="0" collapsed="false">
      <c r="A83" s="10" t="s">
        <v>169</v>
      </c>
      <c r="B83" s="10" t="n">
        <v>1</v>
      </c>
      <c r="C83" s="10" t="s">
        <v>692</v>
      </c>
      <c r="D83" s="10" t="s">
        <v>729</v>
      </c>
    </row>
    <row r="84" customFormat="false" ht="35.05" hidden="false" customHeight="false" outlineLevel="0" collapsed="false">
      <c r="A84" s="10"/>
      <c r="B84" s="10" t="n">
        <v>2</v>
      </c>
      <c r="C84" s="10" t="s">
        <v>673</v>
      </c>
      <c r="D84" s="10" t="s">
        <v>674</v>
      </c>
    </row>
    <row r="85" customFormat="false" ht="35.05" hidden="false" customHeight="false" outlineLevel="0" collapsed="false">
      <c r="A85" s="10"/>
      <c r="B85" s="10" t="n">
        <v>3</v>
      </c>
      <c r="C85" s="10" t="s">
        <v>673</v>
      </c>
      <c r="D85" s="10" t="s">
        <v>730</v>
      </c>
    </row>
    <row r="86" customFormat="false" ht="35.05" hidden="false" customHeight="false" outlineLevel="0" collapsed="false">
      <c r="A86" s="10" t="s">
        <v>173</v>
      </c>
      <c r="B86" s="10" t="n">
        <v>1</v>
      </c>
      <c r="C86" s="10" t="s">
        <v>673</v>
      </c>
      <c r="D86" s="10" t="s">
        <v>702</v>
      </c>
    </row>
    <row r="87" customFormat="false" ht="35.05" hidden="false" customHeight="false" outlineLevel="0" collapsed="false">
      <c r="A87" s="10"/>
      <c r="B87" s="10" t="n">
        <v>2</v>
      </c>
      <c r="C87" s="10" t="s">
        <v>673</v>
      </c>
      <c r="D87" s="10" t="s">
        <v>674</v>
      </c>
    </row>
    <row r="88" customFormat="false" ht="15" hidden="false" customHeight="false" outlineLevel="0" collapsed="false">
      <c r="A88" s="10"/>
      <c r="B88" s="10" t="n">
        <v>3</v>
      </c>
      <c r="C88" s="10" t="s">
        <v>671</v>
      </c>
      <c r="D88" s="10" t="s">
        <v>731</v>
      </c>
    </row>
    <row r="89" customFormat="false" ht="35.05" hidden="false" customHeight="false" outlineLevel="0" collapsed="false">
      <c r="A89" s="10" t="s">
        <v>176</v>
      </c>
      <c r="B89" s="10" t="n">
        <v>1</v>
      </c>
      <c r="C89" s="10" t="s">
        <v>678</v>
      </c>
      <c r="D89" s="10" t="s">
        <v>732</v>
      </c>
    </row>
    <row r="90" customFormat="false" ht="35.05" hidden="false" customHeight="false" outlineLevel="0" collapsed="false">
      <c r="A90" s="10"/>
      <c r="B90" s="10" t="n">
        <v>2</v>
      </c>
      <c r="C90" s="10" t="s">
        <v>678</v>
      </c>
      <c r="D90" s="10" t="s">
        <v>733</v>
      </c>
    </row>
    <row r="91" customFormat="false" ht="15" hidden="false" customHeight="false" outlineLevel="0" collapsed="false">
      <c r="A91" s="10"/>
      <c r="B91" s="10" t="n">
        <v>3</v>
      </c>
      <c r="C91" s="10" t="s">
        <v>734</v>
      </c>
      <c r="D91" s="10" t="s">
        <v>735</v>
      </c>
    </row>
    <row r="92" customFormat="false" ht="35.05" hidden="false" customHeight="false" outlineLevel="0" collapsed="false">
      <c r="A92" s="10" t="s">
        <v>180</v>
      </c>
      <c r="B92" s="10" t="n">
        <v>1</v>
      </c>
      <c r="C92" s="10" t="s">
        <v>703</v>
      </c>
      <c r="D92" s="10" t="s">
        <v>708</v>
      </c>
    </row>
    <row r="93" customFormat="false" ht="46.25" hidden="false" customHeight="false" outlineLevel="0" collapsed="false">
      <c r="A93" s="10"/>
      <c r="B93" s="10" t="n">
        <v>2</v>
      </c>
      <c r="C93" s="10" t="s">
        <v>648</v>
      </c>
      <c r="D93" s="10" t="s">
        <v>685</v>
      </c>
    </row>
    <row r="94" customFormat="false" ht="35.05" hidden="false" customHeight="false" outlineLevel="0" collapsed="false">
      <c r="A94" s="10"/>
      <c r="B94" s="10" t="n">
        <v>3</v>
      </c>
      <c r="C94" s="10" t="s">
        <v>673</v>
      </c>
      <c r="D94" s="10" t="s">
        <v>674</v>
      </c>
    </row>
    <row r="95" customFormat="false" ht="23.85" hidden="false" customHeight="false" outlineLevel="0" collapsed="false">
      <c r="A95" s="10" t="s">
        <v>184</v>
      </c>
      <c r="B95" s="10" t="n">
        <v>1</v>
      </c>
      <c r="C95" s="10" t="s">
        <v>601</v>
      </c>
      <c r="D95" s="10" t="s">
        <v>736</v>
      </c>
    </row>
    <row r="96" customFormat="false" ht="23.85" hidden="false" customHeight="false" outlineLevel="0" collapsed="false">
      <c r="A96" s="10"/>
      <c r="B96" s="10" t="n">
        <v>2</v>
      </c>
      <c r="C96" s="10" t="s">
        <v>601</v>
      </c>
      <c r="D96" s="10" t="s">
        <v>737</v>
      </c>
    </row>
    <row r="97" customFormat="false" ht="23.85" hidden="false" customHeight="false" outlineLevel="0" collapsed="false">
      <c r="A97" s="10"/>
      <c r="B97" s="10" t="n">
        <v>3</v>
      </c>
      <c r="C97" s="10" t="s">
        <v>671</v>
      </c>
      <c r="D97" s="10" t="s">
        <v>738</v>
      </c>
    </row>
    <row r="98" customFormat="false" ht="35.05" hidden="false" customHeight="false" outlineLevel="0" collapsed="false">
      <c r="A98" s="10" t="s">
        <v>188</v>
      </c>
      <c r="B98" s="10" t="n">
        <v>1</v>
      </c>
      <c r="C98" s="10" t="s">
        <v>739</v>
      </c>
      <c r="D98" s="10" t="s">
        <v>740</v>
      </c>
    </row>
    <row r="99" customFormat="false" ht="35.05" hidden="false" customHeight="false" outlineLevel="0" collapsed="false">
      <c r="A99" s="10"/>
      <c r="B99" s="10" t="n">
        <v>2</v>
      </c>
      <c r="C99" s="10" t="s">
        <v>696</v>
      </c>
      <c r="D99" s="10" t="s">
        <v>697</v>
      </c>
    </row>
    <row r="100" customFormat="false" ht="23.85" hidden="false" customHeight="false" outlineLevel="0" collapsed="false">
      <c r="A100" s="10"/>
      <c r="B100" s="10" t="n">
        <v>3</v>
      </c>
      <c r="C100" s="10" t="s">
        <v>739</v>
      </c>
      <c r="D100" s="10" t="s">
        <v>741</v>
      </c>
    </row>
    <row r="101" customFormat="false" ht="35.05" hidden="false" customHeight="false" outlineLevel="0" collapsed="false">
      <c r="A101" s="10" t="s">
        <v>193</v>
      </c>
      <c r="B101" s="10" t="n">
        <v>1</v>
      </c>
      <c r="C101" s="10" t="s">
        <v>657</v>
      </c>
      <c r="D101" s="10" t="s">
        <v>742</v>
      </c>
    </row>
    <row r="102" customFormat="false" ht="46.25" hidden="false" customHeight="false" outlineLevel="0" collapsed="false">
      <c r="A102" s="10"/>
      <c r="B102" s="10" t="n">
        <v>2</v>
      </c>
      <c r="C102" s="10" t="s">
        <v>743</v>
      </c>
      <c r="D102" s="10" t="s">
        <v>744</v>
      </c>
    </row>
    <row r="103" customFormat="false" ht="23.85" hidden="false" customHeight="false" outlineLevel="0" collapsed="false">
      <c r="A103" s="10"/>
      <c r="B103" s="10" t="n">
        <v>3</v>
      </c>
      <c r="C103" s="10" t="s">
        <v>678</v>
      </c>
      <c r="D103" s="10" t="s">
        <v>745</v>
      </c>
    </row>
    <row r="104" customFormat="false" ht="35.05" hidden="false" customHeight="false" outlineLevel="0" collapsed="false">
      <c r="A104" s="10" t="s">
        <v>198</v>
      </c>
      <c r="B104" s="10" t="n">
        <v>1</v>
      </c>
      <c r="C104" s="10" t="s">
        <v>703</v>
      </c>
      <c r="D104" s="10" t="s">
        <v>714</v>
      </c>
    </row>
    <row r="105" customFormat="false" ht="23.85" hidden="false" customHeight="false" outlineLevel="0" collapsed="false">
      <c r="A105" s="10"/>
      <c r="B105" s="10" t="n">
        <v>2</v>
      </c>
      <c r="C105" s="10" t="s">
        <v>676</v>
      </c>
      <c r="D105" s="10" t="s">
        <v>746</v>
      </c>
    </row>
    <row r="106" customFormat="false" ht="23.85" hidden="false" customHeight="false" outlineLevel="0" collapsed="false">
      <c r="A106" s="10"/>
      <c r="B106" s="10" t="n">
        <v>3</v>
      </c>
      <c r="C106" s="10" t="s">
        <v>676</v>
      </c>
      <c r="D106" s="10" t="s">
        <v>747</v>
      </c>
    </row>
    <row r="107" customFormat="false" ht="35.05" hidden="false" customHeight="false" outlineLevel="0" collapsed="false">
      <c r="A107" s="10" t="s">
        <v>202</v>
      </c>
      <c r="B107" s="10" t="n">
        <v>1</v>
      </c>
      <c r="C107" s="10" t="s">
        <v>601</v>
      </c>
      <c r="D107" s="10" t="s">
        <v>748</v>
      </c>
    </row>
    <row r="108" customFormat="false" ht="23.85" hidden="false" customHeight="false" outlineLevel="0" collapsed="false">
      <c r="A108" s="10"/>
      <c r="B108" s="10" t="n">
        <v>2</v>
      </c>
      <c r="C108" s="10" t="s">
        <v>671</v>
      </c>
      <c r="D108" s="10" t="s">
        <v>738</v>
      </c>
    </row>
    <row r="109" customFormat="false" ht="23.85" hidden="false" customHeight="false" outlineLevel="0" collapsed="false">
      <c r="A109" s="10"/>
      <c r="B109" s="10" t="n">
        <v>3</v>
      </c>
      <c r="C109" s="10" t="s">
        <v>653</v>
      </c>
      <c r="D109" s="10" t="s">
        <v>749</v>
      </c>
    </row>
    <row r="110" customFormat="false" ht="35.05" hidden="false" customHeight="false" outlineLevel="0" collapsed="false">
      <c r="A110" s="10" t="s">
        <v>206</v>
      </c>
      <c r="B110" s="10" t="n">
        <v>1</v>
      </c>
      <c r="C110" s="10" t="s">
        <v>664</v>
      </c>
      <c r="D110" s="10" t="s">
        <v>750</v>
      </c>
    </row>
    <row r="111" customFormat="false" ht="23.85" hidden="false" customHeight="false" outlineLevel="0" collapsed="false">
      <c r="A111" s="10"/>
      <c r="B111" s="10" t="n">
        <v>2</v>
      </c>
      <c r="C111" s="10" t="s">
        <v>751</v>
      </c>
      <c r="D111" s="10" t="s">
        <v>752</v>
      </c>
    </row>
    <row r="112" customFormat="false" ht="23.85" hidden="false" customHeight="false" outlineLevel="0" collapsed="false">
      <c r="A112" s="10"/>
      <c r="B112" s="10" t="n">
        <v>3</v>
      </c>
      <c r="C112" s="10" t="s">
        <v>648</v>
      </c>
      <c r="D112" s="10" t="s">
        <v>753</v>
      </c>
    </row>
    <row r="113" customFormat="false" ht="35.05" hidden="false" customHeight="false" outlineLevel="0" collapsed="false">
      <c r="A113" s="10" t="s">
        <v>210</v>
      </c>
      <c r="B113" s="10" t="n">
        <v>1</v>
      </c>
      <c r="C113" s="10" t="s">
        <v>659</v>
      </c>
      <c r="D113" s="10" t="s">
        <v>666</v>
      </c>
    </row>
    <row r="114" customFormat="false" ht="23.85" hidden="false" customHeight="false" outlineLevel="0" collapsed="false">
      <c r="A114" s="10"/>
      <c r="B114" s="10" t="n">
        <v>2</v>
      </c>
      <c r="C114" s="10" t="s">
        <v>659</v>
      </c>
      <c r="D114" s="10" t="s">
        <v>754</v>
      </c>
    </row>
    <row r="115" customFormat="false" ht="23.85" hidden="false" customHeight="false" outlineLevel="0" collapsed="false">
      <c r="A115" s="10" t="s">
        <v>213</v>
      </c>
      <c r="B115" s="10" t="n">
        <v>1</v>
      </c>
      <c r="C115" s="10" t="s">
        <v>739</v>
      </c>
      <c r="D115" s="10" t="s">
        <v>755</v>
      </c>
    </row>
    <row r="116" customFormat="false" ht="23.85" hidden="false" customHeight="false" outlineLevel="0" collapsed="false">
      <c r="A116" s="10"/>
      <c r="B116" s="10" t="n">
        <v>2</v>
      </c>
      <c r="C116" s="10" t="s">
        <v>676</v>
      </c>
      <c r="D116" s="10" t="s">
        <v>756</v>
      </c>
    </row>
    <row r="117" customFormat="false" ht="35.05" hidden="false" customHeight="false" outlineLevel="0" collapsed="false">
      <c r="A117" s="10" t="s">
        <v>218</v>
      </c>
      <c r="B117" s="10" t="n">
        <v>1</v>
      </c>
      <c r="C117" s="10" t="s">
        <v>698</v>
      </c>
      <c r="D117" s="10" t="s">
        <v>699</v>
      </c>
    </row>
    <row r="118" customFormat="false" ht="15" hidden="false" customHeight="false" outlineLevel="0" collapsed="false">
      <c r="A118" s="10"/>
      <c r="B118" s="10" t="n">
        <v>2</v>
      </c>
      <c r="C118" s="10" t="s">
        <v>664</v>
      </c>
      <c r="D118" s="10" t="s">
        <v>757</v>
      </c>
    </row>
    <row r="119" customFormat="false" ht="23.85" hidden="false" customHeight="false" outlineLevel="0" collapsed="false">
      <c r="A119" s="10" t="s">
        <v>221</v>
      </c>
      <c r="B119" s="10" t="n">
        <v>1</v>
      </c>
      <c r="C119" s="10" t="s">
        <v>703</v>
      </c>
      <c r="D119" s="10" t="s">
        <v>224</v>
      </c>
    </row>
    <row r="120" customFormat="false" ht="46.25" hidden="false" customHeight="false" outlineLevel="0" collapsed="false">
      <c r="A120" s="10" t="s">
        <v>225</v>
      </c>
      <c r="B120" s="10" t="n">
        <v>1</v>
      </c>
      <c r="C120" s="10" t="s">
        <v>646</v>
      </c>
      <c r="D120" s="10" t="s">
        <v>758</v>
      </c>
    </row>
    <row r="121" customFormat="false" ht="23.85" hidden="false" customHeight="false" outlineLevel="0" collapsed="false">
      <c r="A121" s="10" t="s">
        <v>229</v>
      </c>
      <c r="B121" s="10" t="n">
        <v>1</v>
      </c>
      <c r="C121" s="10" t="s">
        <v>676</v>
      </c>
      <c r="D121" s="10" t="s">
        <v>232</v>
      </c>
    </row>
    <row r="122" customFormat="false" ht="23.85" hidden="false" customHeight="false" outlineLevel="0" collapsed="false">
      <c r="A122" s="10" t="s">
        <v>233</v>
      </c>
      <c r="B122" s="10" t="n">
        <v>1</v>
      </c>
      <c r="C122" s="10" t="s">
        <v>601</v>
      </c>
      <c r="D122" s="10" t="s">
        <v>759</v>
      </c>
    </row>
    <row r="123" customFormat="false" ht="15" hidden="false" customHeight="false" outlineLevel="0" collapsed="false">
      <c r="A123" s="10" t="s">
        <v>237</v>
      </c>
      <c r="B123" s="10" t="n">
        <v>1</v>
      </c>
      <c r="C123" s="10" t="s">
        <v>664</v>
      </c>
      <c r="D123" s="10" t="s">
        <v>240</v>
      </c>
    </row>
    <row r="124" customFormat="false" ht="35.05" hidden="false" customHeight="false" outlineLevel="0" collapsed="false">
      <c r="A124" s="10" t="s">
        <v>241</v>
      </c>
      <c r="B124" s="10" t="n">
        <v>1</v>
      </c>
      <c r="C124" s="10" t="s">
        <v>703</v>
      </c>
      <c r="D124" s="10" t="s">
        <v>760</v>
      </c>
    </row>
    <row r="125" customFormat="false" ht="35.05" hidden="false" customHeight="false" outlineLevel="0" collapsed="false">
      <c r="A125" s="10"/>
      <c r="B125" s="10" t="n">
        <v>2</v>
      </c>
      <c r="C125" s="10" t="s">
        <v>734</v>
      </c>
      <c r="D125" s="10" t="s">
        <v>761</v>
      </c>
    </row>
    <row r="126" customFormat="false" ht="23.85" hidden="false" customHeight="false" outlineLevel="0" collapsed="false">
      <c r="A126" s="10"/>
      <c r="B126" s="10" t="n">
        <v>3</v>
      </c>
      <c r="C126" s="10" t="s">
        <v>692</v>
      </c>
      <c r="D126" s="10" t="s">
        <v>762</v>
      </c>
    </row>
    <row r="127" customFormat="false" ht="35.05" hidden="false" customHeight="false" outlineLevel="0" collapsed="false">
      <c r="A127" s="10" t="s">
        <v>246</v>
      </c>
      <c r="B127" s="10" t="n">
        <v>1</v>
      </c>
      <c r="C127" s="10" t="s">
        <v>703</v>
      </c>
      <c r="D127" s="10" t="s">
        <v>760</v>
      </c>
    </row>
    <row r="128" customFormat="false" ht="35.05" hidden="false" customHeight="false" outlineLevel="0" collapsed="false">
      <c r="A128" s="10"/>
      <c r="B128" s="10" t="n">
        <v>2</v>
      </c>
      <c r="C128" s="10" t="s">
        <v>763</v>
      </c>
      <c r="D128" s="10" t="s">
        <v>764</v>
      </c>
    </row>
    <row r="129" customFormat="false" ht="23.85" hidden="false" customHeight="false" outlineLevel="0" collapsed="false">
      <c r="A129" s="10"/>
      <c r="B129" s="10" t="n">
        <v>3</v>
      </c>
      <c r="C129" s="10" t="s">
        <v>648</v>
      </c>
      <c r="D129" s="10" t="s">
        <v>765</v>
      </c>
    </row>
    <row r="130" customFormat="false" ht="46.25" hidden="false" customHeight="false" outlineLevel="0" collapsed="false">
      <c r="A130" s="10" t="s">
        <v>249</v>
      </c>
      <c r="B130" s="10" t="n">
        <v>1</v>
      </c>
      <c r="C130" s="10" t="s">
        <v>646</v>
      </c>
      <c r="D130" s="10" t="s">
        <v>766</v>
      </c>
    </row>
    <row r="131" customFormat="false" ht="35.05" hidden="false" customHeight="false" outlineLevel="0" collapsed="false">
      <c r="A131" s="10"/>
      <c r="B131" s="10" t="n">
        <v>2</v>
      </c>
      <c r="C131" s="10" t="s">
        <v>767</v>
      </c>
      <c r="D131" s="10" t="s">
        <v>768</v>
      </c>
    </row>
    <row r="132" customFormat="false" ht="35.05" hidden="false" customHeight="false" outlineLevel="0" collapsed="false">
      <c r="A132" s="10"/>
      <c r="B132" s="10" t="n">
        <v>3</v>
      </c>
      <c r="C132" s="10" t="s">
        <v>657</v>
      </c>
      <c r="D132" s="10" t="s">
        <v>769</v>
      </c>
    </row>
    <row r="133" customFormat="false" ht="35.05" hidden="false" customHeight="false" outlineLevel="0" collapsed="false">
      <c r="A133" s="10" t="s">
        <v>253</v>
      </c>
      <c r="B133" s="10" t="n">
        <v>1</v>
      </c>
      <c r="C133" s="10" t="s">
        <v>703</v>
      </c>
      <c r="D133" s="10" t="s">
        <v>760</v>
      </c>
    </row>
    <row r="134" customFormat="false" ht="35.05" hidden="false" customHeight="false" outlineLevel="0" collapsed="false">
      <c r="A134" s="10"/>
      <c r="B134" s="10" t="n">
        <v>2</v>
      </c>
      <c r="C134" s="10" t="s">
        <v>734</v>
      </c>
      <c r="D134" s="10" t="s">
        <v>761</v>
      </c>
    </row>
    <row r="135" customFormat="false" ht="23.85" hidden="false" customHeight="false" outlineLevel="0" collapsed="false">
      <c r="A135" s="10"/>
      <c r="B135" s="10" t="n">
        <v>3</v>
      </c>
      <c r="C135" s="10" t="s">
        <v>644</v>
      </c>
      <c r="D135" s="10" t="s">
        <v>770</v>
      </c>
    </row>
    <row r="136" customFormat="false" ht="46.25" hidden="false" customHeight="false" outlineLevel="0" collapsed="false">
      <c r="A136" s="10" t="s">
        <v>256</v>
      </c>
      <c r="B136" s="10" t="n">
        <v>1</v>
      </c>
      <c r="C136" s="10" t="s">
        <v>646</v>
      </c>
      <c r="D136" s="10" t="s">
        <v>766</v>
      </c>
    </row>
    <row r="137" customFormat="false" ht="35.05" hidden="false" customHeight="false" outlineLevel="0" collapsed="false">
      <c r="A137" s="10"/>
      <c r="B137" s="10" t="n">
        <v>2</v>
      </c>
      <c r="C137" s="10" t="s">
        <v>767</v>
      </c>
      <c r="D137" s="10" t="s">
        <v>771</v>
      </c>
    </row>
    <row r="138" customFormat="false" ht="23.85" hidden="false" customHeight="false" outlineLevel="0" collapsed="false">
      <c r="A138" s="10"/>
      <c r="B138" s="10" t="n">
        <v>3</v>
      </c>
      <c r="C138" s="10" t="s">
        <v>772</v>
      </c>
      <c r="D138" s="10" t="s">
        <v>773</v>
      </c>
    </row>
    <row r="139" customFormat="false" ht="35.05" hidden="false" customHeight="false" outlineLevel="0" collapsed="false">
      <c r="A139" s="10" t="s">
        <v>260</v>
      </c>
      <c r="B139" s="10" t="n">
        <v>1</v>
      </c>
      <c r="C139" s="10" t="s">
        <v>703</v>
      </c>
      <c r="D139" s="10" t="s">
        <v>760</v>
      </c>
    </row>
    <row r="140" customFormat="false" ht="46.25" hidden="false" customHeight="false" outlineLevel="0" collapsed="false">
      <c r="A140" s="10"/>
      <c r="B140" s="10" t="n">
        <v>2</v>
      </c>
      <c r="C140" s="10" t="s">
        <v>646</v>
      </c>
      <c r="D140" s="10" t="s">
        <v>766</v>
      </c>
    </row>
    <row r="141" customFormat="false" ht="15" hidden="false" customHeight="false" outlineLevel="0" collapsed="false">
      <c r="A141" s="10"/>
      <c r="B141" s="10" t="n">
        <v>3</v>
      </c>
      <c r="C141" s="10" t="s">
        <v>657</v>
      </c>
      <c r="D141" s="10" t="s">
        <v>774</v>
      </c>
    </row>
    <row r="142" customFormat="false" ht="35.05" hidden="false" customHeight="false" outlineLevel="0" collapsed="false">
      <c r="A142" s="10" t="s">
        <v>264</v>
      </c>
      <c r="B142" s="10" t="n">
        <v>1</v>
      </c>
      <c r="C142" s="10" t="s">
        <v>703</v>
      </c>
      <c r="D142" s="10" t="s">
        <v>760</v>
      </c>
    </row>
    <row r="143" customFormat="false" ht="35.05" hidden="false" customHeight="false" outlineLevel="0" collapsed="false">
      <c r="A143" s="10"/>
      <c r="B143" s="10" t="n">
        <v>2</v>
      </c>
      <c r="C143" s="10" t="s">
        <v>653</v>
      </c>
      <c r="D143" s="10" t="s">
        <v>775</v>
      </c>
    </row>
    <row r="144" customFormat="false" ht="23.85" hidden="false" customHeight="false" outlineLevel="0" collapsed="false">
      <c r="A144" s="10"/>
      <c r="B144" s="10" t="n">
        <v>3</v>
      </c>
      <c r="C144" s="10" t="s">
        <v>676</v>
      </c>
      <c r="D144" s="10" t="s">
        <v>747</v>
      </c>
    </row>
    <row r="145" customFormat="false" ht="35.05" hidden="false" customHeight="false" outlineLevel="0" collapsed="false">
      <c r="A145" s="10" t="s">
        <v>267</v>
      </c>
      <c r="B145" s="10" t="n">
        <v>1</v>
      </c>
      <c r="C145" s="10" t="s">
        <v>646</v>
      </c>
      <c r="D145" s="10" t="s">
        <v>776</v>
      </c>
    </row>
    <row r="146" customFormat="false" ht="35.05" hidden="false" customHeight="false" outlineLevel="0" collapsed="false">
      <c r="A146" s="10"/>
      <c r="B146" s="10" t="n">
        <v>2</v>
      </c>
      <c r="C146" s="10" t="s">
        <v>646</v>
      </c>
      <c r="D146" s="10" t="s">
        <v>777</v>
      </c>
    </row>
    <row r="147" customFormat="false" ht="23.85" hidden="false" customHeight="false" outlineLevel="0" collapsed="false">
      <c r="A147" s="10"/>
      <c r="B147" s="10" t="n">
        <v>3</v>
      </c>
      <c r="C147" s="10" t="s">
        <v>653</v>
      </c>
      <c r="D147" s="10" t="s">
        <v>778</v>
      </c>
    </row>
    <row r="148" customFormat="false" ht="35.05" hidden="false" customHeight="false" outlineLevel="0" collapsed="false">
      <c r="A148" s="10" t="s">
        <v>271</v>
      </c>
      <c r="B148" s="10" t="n">
        <v>1</v>
      </c>
      <c r="C148" s="10" t="s">
        <v>734</v>
      </c>
      <c r="D148" s="10" t="s">
        <v>761</v>
      </c>
    </row>
    <row r="149" customFormat="false" ht="35.05" hidden="false" customHeight="false" outlineLevel="0" collapsed="false">
      <c r="A149" s="10"/>
      <c r="B149" s="10" t="n">
        <v>2</v>
      </c>
      <c r="C149" s="10" t="s">
        <v>650</v>
      </c>
      <c r="D149" s="10" t="s">
        <v>651</v>
      </c>
    </row>
    <row r="150" customFormat="false" ht="15" hidden="false" customHeight="false" outlineLevel="0" collapsed="false">
      <c r="A150" s="10"/>
      <c r="B150" s="10" t="n">
        <v>3</v>
      </c>
      <c r="C150" s="10" t="s">
        <v>698</v>
      </c>
      <c r="D150" s="10" t="s">
        <v>779</v>
      </c>
    </row>
    <row r="151" customFormat="false" ht="35.05" hidden="false" customHeight="false" outlineLevel="0" collapsed="false">
      <c r="A151" s="10" t="s">
        <v>275</v>
      </c>
      <c r="B151" s="10" t="n">
        <v>1</v>
      </c>
      <c r="C151" s="10" t="s">
        <v>767</v>
      </c>
      <c r="D151" s="10" t="s">
        <v>780</v>
      </c>
    </row>
    <row r="152" customFormat="false" ht="35.05" hidden="false" customHeight="false" outlineLevel="0" collapsed="false">
      <c r="A152" s="10"/>
      <c r="B152" s="10" t="n">
        <v>2</v>
      </c>
      <c r="C152" s="10" t="s">
        <v>767</v>
      </c>
      <c r="D152" s="10" t="s">
        <v>781</v>
      </c>
    </row>
    <row r="153" customFormat="false" ht="23.85" hidden="false" customHeight="false" outlineLevel="0" collapsed="false">
      <c r="A153" s="10"/>
      <c r="B153" s="10" t="n">
        <v>3</v>
      </c>
      <c r="C153" s="10" t="s">
        <v>767</v>
      </c>
      <c r="D153" s="10" t="s">
        <v>782</v>
      </c>
    </row>
    <row r="154" customFormat="false" ht="35.05" hidden="false" customHeight="false" outlineLevel="0" collapsed="false">
      <c r="A154" s="10" t="s">
        <v>279</v>
      </c>
      <c r="B154" s="10" t="n">
        <v>1</v>
      </c>
      <c r="C154" s="10" t="s">
        <v>767</v>
      </c>
      <c r="D154" s="10" t="s">
        <v>783</v>
      </c>
    </row>
    <row r="155" customFormat="false" ht="35.05" hidden="false" customHeight="false" outlineLevel="0" collapsed="false">
      <c r="A155" s="10"/>
      <c r="B155" s="10" t="n">
        <v>2</v>
      </c>
      <c r="C155" s="10" t="s">
        <v>703</v>
      </c>
      <c r="D155" s="10" t="s">
        <v>784</v>
      </c>
    </row>
    <row r="156" customFormat="false" ht="35.05" hidden="false" customHeight="false" outlineLevel="0" collapsed="false">
      <c r="A156" s="10"/>
      <c r="B156" s="10" t="n">
        <v>3</v>
      </c>
      <c r="C156" s="10" t="s">
        <v>659</v>
      </c>
      <c r="D156" s="10" t="s">
        <v>785</v>
      </c>
    </row>
    <row r="157" customFormat="false" ht="35.05" hidden="false" customHeight="false" outlineLevel="0" collapsed="false">
      <c r="A157" s="10" t="s">
        <v>283</v>
      </c>
      <c r="B157" s="10" t="n">
        <v>1</v>
      </c>
      <c r="C157" s="10" t="s">
        <v>646</v>
      </c>
      <c r="D157" s="10" t="s">
        <v>786</v>
      </c>
    </row>
    <row r="158" customFormat="false" ht="35.05" hidden="false" customHeight="false" outlineLevel="0" collapsed="false">
      <c r="A158" s="10"/>
      <c r="B158" s="10" t="n">
        <v>2</v>
      </c>
      <c r="C158" s="10" t="s">
        <v>671</v>
      </c>
      <c r="D158" s="10" t="s">
        <v>787</v>
      </c>
    </row>
    <row r="159" customFormat="false" ht="15" hidden="false" customHeight="false" outlineLevel="0" collapsed="false">
      <c r="A159" s="10"/>
      <c r="B159" s="10" t="n">
        <v>3</v>
      </c>
      <c r="C159" s="10" t="s">
        <v>671</v>
      </c>
      <c r="D159" s="10" t="s">
        <v>788</v>
      </c>
    </row>
    <row r="160" customFormat="false" ht="35.05" hidden="false" customHeight="false" outlineLevel="0" collapsed="false">
      <c r="A160" s="10" t="s">
        <v>287</v>
      </c>
      <c r="B160" s="10" t="n">
        <v>1</v>
      </c>
      <c r="C160" s="10" t="s">
        <v>659</v>
      </c>
      <c r="D160" s="10" t="s">
        <v>789</v>
      </c>
    </row>
    <row r="161" customFormat="false" ht="35.05" hidden="false" customHeight="false" outlineLevel="0" collapsed="false">
      <c r="A161" s="10"/>
      <c r="B161" s="10" t="n">
        <v>2</v>
      </c>
      <c r="C161" s="10" t="s">
        <v>595</v>
      </c>
      <c r="D161" s="10" t="s">
        <v>790</v>
      </c>
    </row>
    <row r="162" customFormat="false" ht="23.85" hidden="false" customHeight="false" outlineLevel="0" collapsed="false">
      <c r="A162" s="10"/>
      <c r="B162" s="10" t="n">
        <v>3</v>
      </c>
      <c r="C162" s="10" t="s">
        <v>724</v>
      </c>
      <c r="D162" s="10" t="s">
        <v>791</v>
      </c>
    </row>
    <row r="163" customFormat="false" ht="35.05" hidden="false" customHeight="false" outlineLevel="0" collapsed="false">
      <c r="A163" s="10" t="s">
        <v>291</v>
      </c>
      <c r="B163" s="10" t="n">
        <v>1</v>
      </c>
      <c r="C163" s="10" t="s">
        <v>767</v>
      </c>
      <c r="D163" s="10" t="s">
        <v>783</v>
      </c>
    </row>
    <row r="164" customFormat="false" ht="35.05" hidden="false" customHeight="false" outlineLevel="0" collapsed="false">
      <c r="A164" s="10"/>
      <c r="B164" s="10" t="n">
        <v>2</v>
      </c>
      <c r="C164" s="10" t="s">
        <v>676</v>
      </c>
      <c r="D164" s="10" t="s">
        <v>792</v>
      </c>
    </row>
    <row r="165" customFormat="false" ht="23.85" hidden="false" customHeight="false" outlineLevel="0" collapsed="false">
      <c r="A165" s="10"/>
      <c r="B165" s="10" t="n">
        <v>3</v>
      </c>
      <c r="C165" s="10" t="s">
        <v>676</v>
      </c>
      <c r="D165" s="10" t="s">
        <v>793</v>
      </c>
    </row>
    <row r="166" customFormat="false" ht="35.05" hidden="false" customHeight="false" outlineLevel="0" collapsed="false">
      <c r="A166" s="10" t="s">
        <v>294</v>
      </c>
      <c r="B166" s="10" t="n">
        <v>1</v>
      </c>
      <c r="C166" s="10" t="s">
        <v>767</v>
      </c>
      <c r="D166" s="10" t="s">
        <v>794</v>
      </c>
    </row>
    <row r="167" customFormat="false" ht="35.05" hidden="false" customHeight="false" outlineLevel="0" collapsed="false">
      <c r="A167" s="10"/>
      <c r="B167" s="10" t="n">
        <v>2</v>
      </c>
      <c r="C167" s="10" t="s">
        <v>690</v>
      </c>
      <c r="D167" s="10" t="s">
        <v>795</v>
      </c>
    </row>
    <row r="168" customFormat="false" ht="35.05" hidden="false" customHeight="false" outlineLevel="0" collapsed="false">
      <c r="A168" s="10"/>
      <c r="B168" s="10" t="n">
        <v>3</v>
      </c>
      <c r="C168" s="10" t="s">
        <v>690</v>
      </c>
      <c r="D168" s="10" t="s">
        <v>796</v>
      </c>
    </row>
    <row r="169" customFormat="false" ht="35.05" hidden="false" customHeight="false" outlineLevel="0" collapsed="false">
      <c r="A169" s="10" t="s">
        <v>298</v>
      </c>
      <c r="B169" s="10" t="n">
        <v>1</v>
      </c>
      <c r="C169" s="10" t="s">
        <v>676</v>
      </c>
      <c r="D169" s="10" t="s">
        <v>797</v>
      </c>
    </row>
    <row r="170" customFormat="false" ht="35.05" hidden="false" customHeight="false" outlineLevel="0" collapsed="false">
      <c r="A170" s="10"/>
      <c r="B170" s="10" t="n">
        <v>2</v>
      </c>
      <c r="C170" s="10" t="s">
        <v>743</v>
      </c>
      <c r="D170" s="10" t="s">
        <v>798</v>
      </c>
    </row>
    <row r="171" customFormat="false" ht="23.85" hidden="false" customHeight="false" outlineLevel="0" collapsed="false">
      <c r="A171" s="10"/>
      <c r="B171" s="10" t="n">
        <v>3</v>
      </c>
      <c r="C171" s="10" t="s">
        <v>601</v>
      </c>
      <c r="D171" s="10" t="s">
        <v>799</v>
      </c>
    </row>
    <row r="172" customFormat="false" ht="35.05" hidden="false" customHeight="false" outlineLevel="0" collapsed="false">
      <c r="A172" s="10" t="s">
        <v>301</v>
      </c>
      <c r="B172" s="10" t="n">
        <v>1</v>
      </c>
      <c r="C172" s="10" t="s">
        <v>646</v>
      </c>
      <c r="D172" s="10" t="s">
        <v>800</v>
      </c>
    </row>
    <row r="173" customFormat="false" ht="35.05" hidden="false" customHeight="false" outlineLevel="0" collapsed="false">
      <c r="A173" s="10"/>
      <c r="B173" s="10" t="n">
        <v>2</v>
      </c>
      <c r="C173" s="10" t="s">
        <v>655</v>
      </c>
      <c r="D173" s="10" t="s">
        <v>801</v>
      </c>
    </row>
    <row r="174" customFormat="false" ht="23.85" hidden="false" customHeight="false" outlineLevel="0" collapsed="false">
      <c r="A174" s="10"/>
      <c r="B174" s="10" t="n">
        <v>3</v>
      </c>
      <c r="C174" s="10" t="s">
        <v>657</v>
      </c>
      <c r="D174" s="10" t="s">
        <v>371</v>
      </c>
    </row>
    <row r="175" customFormat="false" ht="35.05" hidden="false" customHeight="false" outlineLevel="0" collapsed="false">
      <c r="A175" s="10" t="s">
        <v>305</v>
      </c>
      <c r="B175" s="10" t="n">
        <v>1</v>
      </c>
      <c r="C175" s="10" t="s">
        <v>767</v>
      </c>
      <c r="D175" s="10" t="s">
        <v>783</v>
      </c>
    </row>
    <row r="176" customFormat="false" ht="35.05" hidden="false" customHeight="false" outlineLevel="0" collapsed="false">
      <c r="A176" s="10"/>
      <c r="B176" s="10" t="n">
        <v>2</v>
      </c>
      <c r="C176" s="10" t="s">
        <v>659</v>
      </c>
      <c r="D176" s="10" t="s">
        <v>785</v>
      </c>
    </row>
    <row r="177" customFormat="false" ht="35.05" hidden="false" customHeight="false" outlineLevel="0" collapsed="false">
      <c r="A177" s="10"/>
      <c r="B177" s="10" t="n">
        <v>3</v>
      </c>
      <c r="C177" s="10" t="s">
        <v>703</v>
      </c>
      <c r="D177" s="10" t="s">
        <v>802</v>
      </c>
    </row>
    <row r="178" customFormat="false" ht="46.25" hidden="false" customHeight="false" outlineLevel="0" collapsed="false">
      <c r="A178" s="10" t="s">
        <v>308</v>
      </c>
      <c r="B178" s="10" t="n">
        <v>1</v>
      </c>
      <c r="C178" s="10" t="s">
        <v>609</v>
      </c>
      <c r="D178" s="10" t="s">
        <v>803</v>
      </c>
    </row>
    <row r="179" customFormat="false" ht="46.25" hidden="false" customHeight="false" outlineLevel="0" collapsed="false">
      <c r="A179" s="10"/>
      <c r="B179" s="10" t="n">
        <v>2</v>
      </c>
      <c r="C179" s="10" t="s">
        <v>609</v>
      </c>
      <c r="D179" s="10" t="s">
        <v>803</v>
      </c>
    </row>
    <row r="180" customFormat="false" ht="15" hidden="false" customHeight="false" outlineLevel="0" collapsed="false">
      <c r="A180" s="10"/>
      <c r="B180" s="10" t="n">
        <v>3</v>
      </c>
      <c r="C180" s="10" t="s">
        <v>673</v>
      </c>
      <c r="D180" s="10" t="s">
        <v>804</v>
      </c>
    </row>
    <row r="181" customFormat="false" ht="46.25" hidden="false" customHeight="false" outlineLevel="0" collapsed="false">
      <c r="A181" s="10" t="s">
        <v>312</v>
      </c>
      <c r="B181" s="10" t="n">
        <v>1</v>
      </c>
      <c r="C181" s="10" t="s">
        <v>680</v>
      </c>
      <c r="D181" s="10" t="s">
        <v>805</v>
      </c>
    </row>
    <row r="182" customFormat="false" ht="23.85" hidden="false" customHeight="false" outlineLevel="0" collapsed="false">
      <c r="A182" s="10"/>
      <c r="B182" s="10" t="n">
        <v>2</v>
      </c>
      <c r="C182" s="10" t="s">
        <v>692</v>
      </c>
      <c r="D182" s="10" t="s">
        <v>806</v>
      </c>
    </row>
    <row r="183" customFormat="false" ht="15" hidden="false" customHeight="false" outlineLevel="0" collapsed="false">
      <c r="A183" s="10"/>
      <c r="B183" s="10" t="n">
        <v>3</v>
      </c>
      <c r="C183" s="10" t="s">
        <v>657</v>
      </c>
      <c r="D183" s="10" t="s">
        <v>807</v>
      </c>
    </row>
    <row r="184" customFormat="false" ht="35.05" hidden="false" customHeight="false" outlineLevel="0" collapsed="false">
      <c r="A184" s="10" t="s">
        <v>316</v>
      </c>
      <c r="B184" s="10" t="n">
        <v>1</v>
      </c>
      <c r="C184" s="10" t="s">
        <v>703</v>
      </c>
      <c r="D184" s="10" t="s">
        <v>760</v>
      </c>
    </row>
    <row r="185" customFormat="false" ht="35.05" hidden="false" customHeight="false" outlineLevel="0" collapsed="false">
      <c r="A185" s="10"/>
      <c r="B185" s="10" t="n">
        <v>2</v>
      </c>
      <c r="C185" s="10" t="s">
        <v>676</v>
      </c>
      <c r="D185" s="10" t="s">
        <v>808</v>
      </c>
    </row>
    <row r="186" customFormat="false" ht="23.85" hidden="false" customHeight="false" outlineLevel="0" collapsed="false">
      <c r="A186" s="10"/>
      <c r="B186" s="10" t="n">
        <v>3</v>
      </c>
      <c r="C186" s="10" t="s">
        <v>676</v>
      </c>
      <c r="D186" s="10" t="s">
        <v>746</v>
      </c>
    </row>
    <row r="187" customFormat="false" ht="35.05" hidden="false" customHeight="false" outlineLevel="0" collapsed="false">
      <c r="A187" s="10" t="s">
        <v>320</v>
      </c>
      <c r="B187" s="10" t="n">
        <v>1</v>
      </c>
      <c r="C187" s="10" t="s">
        <v>655</v>
      </c>
      <c r="D187" s="10" t="s">
        <v>809</v>
      </c>
    </row>
    <row r="188" customFormat="false" ht="35.05" hidden="false" customHeight="false" outlineLevel="0" collapsed="false">
      <c r="A188" s="10"/>
      <c r="B188" s="10" t="n">
        <v>2</v>
      </c>
      <c r="C188" s="10" t="s">
        <v>668</v>
      </c>
      <c r="D188" s="10" t="s">
        <v>810</v>
      </c>
    </row>
    <row r="189" customFormat="false" ht="23.85" hidden="false" customHeight="false" outlineLevel="0" collapsed="false">
      <c r="A189" s="10"/>
      <c r="B189" s="10" t="n">
        <v>3</v>
      </c>
      <c r="C189" s="10" t="s">
        <v>763</v>
      </c>
      <c r="D189" s="10" t="s">
        <v>811</v>
      </c>
    </row>
    <row r="190" customFormat="false" ht="35.05" hidden="false" customHeight="false" outlineLevel="0" collapsed="false">
      <c r="A190" s="10" t="s">
        <v>324</v>
      </c>
      <c r="B190" s="10" t="n">
        <v>1</v>
      </c>
      <c r="C190" s="10" t="s">
        <v>767</v>
      </c>
      <c r="D190" s="10" t="s">
        <v>812</v>
      </c>
    </row>
    <row r="191" customFormat="false" ht="23.85" hidden="false" customHeight="false" outlineLevel="0" collapsed="false">
      <c r="A191" s="10"/>
      <c r="B191" s="10" t="n">
        <v>2</v>
      </c>
      <c r="C191" s="10" t="s">
        <v>595</v>
      </c>
      <c r="D191" s="10" t="s">
        <v>813</v>
      </c>
    </row>
    <row r="192" customFormat="false" ht="15" hidden="false" customHeight="false" outlineLevel="0" collapsed="false">
      <c r="A192" s="10"/>
      <c r="B192" s="10" t="n">
        <v>3</v>
      </c>
      <c r="C192" s="10" t="s">
        <v>664</v>
      </c>
      <c r="D192" s="10" t="s">
        <v>814</v>
      </c>
    </row>
    <row r="193" customFormat="false" ht="46.25" hidden="false" customHeight="false" outlineLevel="0" collapsed="false">
      <c r="A193" s="10" t="s">
        <v>329</v>
      </c>
      <c r="B193" s="10" t="n">
        <v>1</v>
      </c>
      <c r="C193" s="10" t="s">
        <v>646</v>
      </c>
      <c r="D193" s="10" t="s">
        <v>766</v>
      </c>
    </row>
    <row r="194" customFormat="false" ht="35.05" hidden="false" customHeight="false" outlineLevel="0" collapsed="false">
      <c r="A194" s="10"/>
      <c r="B194" s="10" t="n">
        <v>2</v>
      </c>
      <c r="C194" s="10" t="s">
        <v>703</v>
      </c>
      <c r="D194" s="10" t="s">
        <v>784</v>
      </c>
    </row>
    <row r="195" customFormat="false" ht="35.05" hidden="false" customHeight="false" outlineLevel="0" collapsed="false">
      <c r="A195" s="10"/>
      <c r="B195" s="10" t="n">
        <v>3</v>
      </c>
      <c r="C195" s="10" t="s">
        <v>767</v>
      </c>
      <c r="D195" s="10" t="s">
        <v>794</v>
      </c>
    </row>
    <row r="196" customFormat="false" ht="35.05" hidden="false" customHeight="false" outlineLevel="0" collapsed="false">
      <c r="A196" s="10" t="s">
        <v>333</v>
      </c>
      <c r="B196" s="10" t="n">
        <v>1</v>
      </c>
      <c r="C196" s="10" t="s">
        <v>703</v>
      </c>
      <c r="D196" s="10" t="s">
        <v>760</v>
      </c>
    </row>
    <row r="197" customFormat="false" ht="35.05" hidden="false" customHeight="false" outlineLevel="0" collapsed="false">
      <c r="A197" s="10"/>
      <c r="B197" s="10" t="n">
        <v>2</v>
      </c>
      <c r="C197" s="10" t="s">
        <v>646</v>
      </c>
      <c r="D197" s="10" t="s">
        <v>800</v>
      </c>
    </row>
    <row r="198" customFormat="false" ht="35.05" hidden="false" customHeight="false" outlineLevel="0" collapsed="false">
      <c r="A198" s="10"/>
      <c r="B198" s="10" t="n">
        <v>3</v>
      </c>
      <c r="C198" s="10" t="s">
        <v>680</v>
      </c>
      <c r="D198" s="10" t="s">
        <v>815</v>
      </c>
    </row>
    <row r="199" customFormat="false" ht="23.85" hidden="false" customHeight="false" outlineLevel="0" collapsed="false">
      <c r="A199" s="10" t="s">
        <v>337</v>
      </c>
      <c r="B199" s="10" t="n">
        <v>1</v>
      </c>
      <c r="C199" s="10" t="s">
        <v>659</v>
      </c>
      <c r="D199" s="10" t="s">
        <v>816</v>
      </c>
    </row>
    <row r="200" customFormat="false" ht="23.85" hidden="false" customHeight="false" outlineLevel="0" collapsed="false">
      <c r="A200" s="10"/>
      <c r="B200" s="10" t="n">
        <v>2</v>
      </c>
      <c r="C200" s="10" t="s">
        <v>646</v>
      </c>
      <c r="D200" s="10" t="s">
        <v>817</v>
      </c>
    </row>
    <row r="201" customFormat="false" ht="15" hidden="false" customHeight="false" outlineLevel="0" collapsed="false">
      <c r="A201" s="10"/>
      <c r="B201" s="10" t="n">
        <v>3</v>
      </c>
      <c r="C201" s="10" t="s">
        <v>655</v>
      </c>
      <c r="D201" s="10" t="s">
        <v>818</v>
      </c>
    </row>
    <row r="202" customFormat="false" ht="35.05" hidden="false" customHeight="false" outlineLevel="0" collapsed="false">
      <c r="A202" s="10" t="s">
        <v>342</v>
      </c>
      <c r="B202" s="10" t="n">
        <v>1</v>
      </c>
      <c r="C202" s="10" t="s">
        <v>595</v>
      </c>
      <c r="D202" s="10" t="s">
        <v>819</v>
      </c>
    </row>
    <row r="203" customFormat="false" ht="23.85" hidden="false" customHeight="false" outlineLevel="0" collapsed="false">
      <c r="A203" s="10"/>
      <c r="B203" s="10" t="n">
        <v>2</v>
      </c>
      <c r="C203" s="10" t="s">
        <v>680</v>
      </c>
      <c r="D203" s="10" t="s">
        <v>820</v>
      </c>
    </row>
    <row r="204" customFormat="false" ht="23.85" hidden="false" customHeight="false" outlineLevel="0" collapsed="false">
      <c r="A204" s="10"/>
      <c r="B204" s="10" t="n">
        <v>3</v>
      </c>
      <c r="C204" s="10" t="s">
        <v>601</v>
      </c>
      <c r="D204" s="10" t="s">
        <v>392</v>
      </c>
    </row>
    <row r="205" customFormat="false" ht="35.05" hidden="false" customHeight="false" outlineLevel="0" collapsed="false">
      <c r="A205" s="10" t="s">
        <v>346</v>
      </c>
      <c r="B205" s="10" t="n">
        <v>1</v>
      </c>
      <c r="C205" s="10" t="s">
        <v>646</v>
      </c>
      <c r="D205" s="10" t="s">
        <v>821</v>
      </c>
    </row>
    <row r="206" customFormat="false" ht="35.05" hidden="false" customHeight="false" outlineLevel="0" collapsed="false">
      <c r="A206" s="10"/>
      <c r="B206" s="10" t="n">
        <v>2</v>
      </c>
      <c r="C206" s="10" t="s">
        <v>646</v>
      </c>
      <c r="D206" s="10" t="s">
        <v>822</v>
      </c>
    </row>
    <row r="207" customFormat="false" ht="23.85" hidden="false" customHeight="false" outlineLevel="0" collapsed="false">
      <c r="A207" s="10"/>
      <c r="B207" s="10" t="n">
        <v>3</v>
      </c>
      <c r="C207" s="10" t="s">
        <v>646</v>
      </c>
      <c r="D207" s="10" t="s">
        <v>823</v>
      </c>
    </row>
    <row r="208" customFormat="false" ht="35.05" hidden="false" customHeight="false" outlineLevel="0" collapsed="false">
      <c r="A208" s="10" t="s">
        <v>350</v>
      </c>
      <c r="B208" s="10" t="n">
        <v>1</v>
      </c>
      <c r="C208" s="10" t="s">
        <v>671</v>
      </c>
      <c r="D208" s="10" t="s">
        <v>824</v>
      </c>
    </row>
    <row r="209" customFormat="false" ht="35.05" hidden="false" customHeight="false" outlineLevel="0" collapsed="false">
      <c r="A209" s="10"/>
      <c r="B209" s="10" t="n">
        <v>2</v>
      </c>
      <c r="C209" s="10" t="s">
        <v>671</v>
      </c>
      <c r="D209" s="10" t="s">
        <v>825</v>
      </c>
    </row>
    <row r="210" customFormat="false" ht="15" hidden="false" customHeight="false" outlineLevel="0" collapsed="false">
      <c r="A210" s="10"/>
      <c r="B210" s="10" t="n">
        <v>3</v>
      </c>
      <c r="C210" s="10" t="s">
        <v>678</v>
      </c>
      <c r="D210" s="10" t="s">
        <v>826</v>
      </c>
    </row>
    <row r="211" customFormat="false" ht="35.05" hidden="false" customHeight="false" outlineLevel="0" collapsed="false">
      <c r="A211" s="10" t="s">
        <v>354</v>
      </c>
      <c r="B211" s="10" t="n">
        <v>1</v>
      </c>
      <c r="C211" s="10" t="s">
        <v>690</v>
      </c>
      <c r="D211" s="10" t="s">
        <v>827</v>
      </c>
    </row>
    <row r="212" customFormat="false" ht="23.85" hidden="false" customHeight="false" outlineLevel="0" collapsed="false">
      <c r="A212" s="10"/>
      <c r="B212" s="10" t="n">
        <v>2</v>
      </c>
      <c r="C212" s="10" t="s">
        <v>671</v>
      </c>
      <c r="D212" s="10" t="s">
        <v>828</v>
      </c>
    </row>
    <row r="213" customFormat="false" ht="23.85" hidden="false" customHeight="false" outlineLevel="0" collapsed="false">
      <c r="A213" s="10"/>
      <c r="B213" s="10" t="n">
        <v>3</v>
      </c>
      <c r="C213" s="10" t="s">
        <v>706</v>
      </c>
      <c r="D213" s="10" t="s">
        <v>829</v>
      </c>
    </row>
    <row r="214" customFormat="false" ht="15" hidden="false" customHeight="false" outlineLevel="0" collapsed="false">
      <c r="A214" s="10" t="s">
        <v>358</v>
      </c>
      <c r="B214" s="10" t="n">
        <v>1</v>
      </c>
      <c r="C214" s="10" t="s">
        <v>698</v>
      </c>
      <c r="D214" s="10" t="s">
        <v>362</v>
      </c>
    </row>
    <row r="215" customFormat="false" ht="15" hidden="false" customHeight="false" outlineLevel="0" collapsed="false">
      <c r="A215" s="10"/>
      <c r="B215" s="10" t="n">
        <v>2</v>
      </c>
      <c r="C215" s="10" t="s">
        <v>698</v>
      </c>
      <c r="D215" s="10" t="s">
        <v>830</v>
      </c>
    </row>
    <row r="216" customFormat="false" ht="23.85" hidden="false" customHeight="false" outlineLevel="0" collapsed="false">
      <c r="A216" s="10" t="s">
        <v>363</v>
      </c>
      <c r="B216" s="10" t="n">
        <v>1</v>
      </c>
      <c r="C216" s="10" t="s">
        <v>706</v>
      </c>
      <c r="D216" s="10" t="s">
        <v>831</v>
      </c>
    </row>
    <row r="217" customFormat="false" ht="23.85" hidden="false" customHeight="false" outlineLevel="0" collapsed="false">
      <c r="A217" s="10"/>
      <c r="B217" s="10" t="n">
        <v>2</v>
      </c>
      <c r="C217" s="10" t="s">
        <v>706</v>
      </c>
      <c r="D217" s="10" t="s">
        <v>832</v>
      </c>
    </row>
    <row r="218" customFormat="false" ht="23.85" hidden="false" customHeight="false" outlineLevel="0" collapsed="false">
      <c r="A218" s="10" t="s">
        <v>368</v>
      </c>
      <c r="B218" s="10" t="n">
        <v>1</v>
      </c>
      <c r="C218" s="10" t="s">
        <v>657</v>
      </c>
      <c r="D218" s="10" t="s">
        <v>371</v>
      </c>
    </row>
    <row r="219" customFormat="false" ht="15" hidden="false" customHeight="false" outlineLevel="0" collapsed="false">
      <c r="A219" s="10"/>
      <c r="B219" s="10" t="n">
        <v>2</v>
      </c>
      <c r="C219" s="10" t="s">
        <v>657</v>
      </c>
      <c r="D219" s="10" t="s">
        <v>833</v>
      </c>
    </row>
    <row r="220" customFormat="false" ht="35.05" hidden="false" customHeight="false" outlineLevel="0" collapsed="false">
      <c r="A220" s="10" t="s">
        <v>372</v>
      </c>
      <c r="B220" s="10" t="n">
        <v>1</v>
      </c>
      <c r="C220" s="10" t="s">
        <v>595</v>
      </c>
      <c r="D220" s="10" t="s">
        <v>834</v>
      </c>
    </row>
    <row r="221" customFormat="false" ht="35.05" hidden="false" customHeight="false" outlineLevel="0" collapsed="false">
      <c r="A221" s="10" t="s">
        <v>377</v>
      </c>
      <c r="B221" s="10" t="n">
        <v>1</v>
      </c>
      <c r="C221" s="10" t="s">
        <v>703</v>
      </c>
      <c r="D221" s="10" t="s">
        <v>835</v>
      </c>
    </row>
    <row r="222" customFormat="false" ht="23.85" hidden="false" customHeight="false" outlineLevel="0" collapsed="false">
      <c r="A222" s="10" t="s">
        <v>381</v>
      </c>
      <c r="B222" s="10" t="n">
        <v>1</v>
      </c>
      <c r="C222" s="10" t="s">
        <v>646</v>
      </c>
      <c r="D222" s="10" t="s">
        <v>384</v>
      </c>
    </row>
    <row r="223" customFormat="false" ht="35.05" hidden="false" customHeight="false" outlineLevel="0" collapsed="false">
      <c r="A223" s="10" t="s">
        <v>385</v>
      </c>
      <c r="B223" s="10" t="n">
        <v>1</v>
      </c>
      <c r="C223" s="10" t="s">
        <v>659</v>
      </c>
      <c r="D223" s="10" t="s">
        <v>836</v>
      </c>
    </row>
    <row r="224" customFormat="false" ht="23.85" hidden="false" customHeight="false" outlineLevel="0" collapsed="false">
      <c r="A224" s="10" t="s">
        <v>389</v>
      </c>
      <c r="B224" s="10" t="n">
        <v>1</v>
      </c>
      <c r="C224" s="10" t="s">
        <v>601</v>
      </c>
      <c r="D224" s="10" t="s">
        <v>392</v>
      </c>
    </row>
    <row r="225" customFormat="false" ht="23.85" hidden="false" customHeight="false" outlineLevel="0" collapsed="false">
      <c r="A225" s="10" t="s">
        <v>393</v>
      </c>
      <c r="B225" s="10" t="n">
        <v>1</v>
      </c>
      <c r="C225" s="10" t="s">
        <v>767</v>
      </c>
      <c r="D225" s="10" t="s">
        <v>396</v>
      </c>
    </row>
    <row r="226" customFormat="false" ht="23.85" hidden="false" customHeight="false" outlineLevel="0" collapsed="false">
      <c r="A226" s="10" t="s">
        <v>397</v>
      </c>
      <c r="B226" s="10" t="n">
        <v>1</v>
      </c>
      <c r="C226" s="10" t="s">
        <v>767</v>
      </c>
      <c r="D226" s="10" t="s">
        <v>400</v>
      </c>
    </row>
    <row r="227" customFormat="false" ht="23.85" hidden="false" customHeight="false" outlineLevel="0" collapsed="false">
      <c r="A227" s="10" t="s">
        <v>401</v>
      </c>
      <c r="B227" s="10" t="n">
        <v>1</v>
      </c>
      <c r="C227" s="10" t="s">
        <v>657</v>
      </c>
      <c r="D227" s="10" t="s">
        <v>837</v>
      </c>
    </row>
    <row r="228" customFormat="false" ht="35.05" hidden="false" customHeight="false" outlineLevel="0" collapsed="false">
      <c r="A228" s="10" t="s">
        <v>405</v>
      </c>
      <c r="B228" s="10" t="n">
        <v>1</v>
      </c>
      <c r="C228" s="10" t="s">
        <v>659</v>
      </c>
      <c r="D228" s="10" t="s">
        <v>838</v>
      </c>
    </row>
    <row r="229" customFormat="false" ht="35.05" hidden="false" customHeight="false" outlineLevel="0" collapsed="false">
      <c r="A229" s="10"/>
      <c r="B229" s="10" t="n">
        <v>2</v>
      </c>
      <c r="C229" s="10" t="s">
        <v>646</v>
      </c>
      <c r="D229" s="10" t="s">
        <v>839</v>
      </c>
    </row>
    <row r="230" customFormat="false" ht="35.05" hidden="false" customHeight="false" outlineLevel="0" collapsed="false">
      <c r="A230" s="10"/>
      <c r="B230" s="10" t="n">
        <v>3</v>
      </c>
      <c r="C230" s="10" t="s">
        <v>690</v>
      </c>
      <c r="D230" s="10" t="s">
        <v>840</v>
      </c>
    </row>
    <row r="231" customFormat="false" ht="35.05" hidden="false" customHeight="false" outlineLevel="0" collapsed="false">
      <c r="A231" s="10" t="s">
        <v>411</v>
      </c>
      <c r="B231" s="10" t="n">
        <v>1</v>
      </c>
      <c r="C231" s="10" t="s">
        <v>646</v>
      </c>
      <c r="D231" s="10" t="s">
        <v>839</v>
      </c>
    </row>
    <row r="232" customFormat="false" ht="46.25" hidden="false" customHeight="false" outlineLevel="0" collapsed="false">
      <c r="A232" s="10"/>
      <c r="B232" s="10" t="n">
        <v>2</v>
      </c>
      <c r="C232" s="10" t="s">
        <v>671</v>
      </c>
      <c r="D232" s="10" t="s">
        <v>841</v>
      </c>
    </row>
    <row r="233" customFormat="false" ht="23.85" hidden="false" customHeight="false" outlineLevel="0" collapsed="false">
      <c r="A233" s="10"/>
      <c r="B233" s="10" t="n">
        <v>3</v>
      </c>
      <c r="C233" s="10" t="s">
        <v>671</v>
      </c>
      <c r="D233" s="10" t="s">
        <v>842</v>
      </c>
    </row>
    <row r="234" customFormat="false" ht="35.05" hidden="false" customHeight="false" outlineLevel="0" collapsed="false">
      <c r="A234" s="10" t="s">
        <v>415</v>
      </c>
      <c r="B234" s="10" t="n">
        <v>1</v>
      </c>
      <c r="C234" s="10" t="s">
        <v>698</v>
      </c>
      <c r="D234" s="10" t="s">
        <v>843</v>
      </c>
    </row>
    <row r="235" customFormat="false" ht="35.05" hidden="false" customHeight="false" outlineLevel="0" collapsed="false">
      <c r="A235" s="10"/>
      <c r="B235" s="10" t="n">
        <v>2</v>
      </c>
      <c r="C235" s="10" t="s">
        <v>767</v>
      </c>
      <c r="D235" s="10" t="s">
        <v>844</v>
      </c>
    </row>
    <row r="236" customFormat="false" ht="23.85" hidden="false" customHeight="false" outlineLevel="0" collapsed="false">
      <c r="A236" s="10"/>
      <c r="B236" s="10" t="n">
        <v>3</v>
      </c>
      <c r="C236" s="10" t="s">
        <v>657</v>
      </c>
      <c r="D236" s="10" t="s">
        <v>845</v>
      </c>
    </row>
    <row r="237" customFormat="false" ht="35.05" hidden="false" customHeight="false" outlineLevel="0" collapsed="false">
      <c r="A237" s="10" t="s">
        <v>418</v>
      </c>
      <c r="B237" s="10" t="n">
        <v>1</v>
      </c>
      <c r="C237" s="10" t="s">
        <v>646</v>
      </c>
      <c r="D237" s="10" t="s">
        <v>839</v>
      </c>
    </row>
    <row r="238" customFormat="false" ht="35.05" hidden="false" customHeight="false" outlineLevel="0" collapsed="false">
      <c r="A238" s="10"/>
      <c r="B238" s="10" t="n">
        <v>2</v>
      </c>
      <c r="C238" s="10" t="s">
        <v>655</v>
      </c>
      <c r="D238" s="10" t="s">
        <v>809</v>
      </c>
    </row>
    <row r="239" customFormat="false" ht="23.85" hidden="false" customHeight="false" outlineLevel="0" collapsed="false">
      <c r="A239" s="10"/>
      <c r="B239" s="10" t="n">
        <v>3</v>
      </c>
      <c r="C239" s="10" t="s">
        <v>653</v>
      </c>
      <c r="D239" s="10" t="s">
        <v>846</v>
      </c>
    </row>
    <row r="240" customFormat="false" ht="35.05" hidden="false" customHeight="false" outlineLevel="0" collapsed="false">
      <c r="A240" s="10" t="s">
        <v>420</v>
      </c>
      <c r="B240" s="10" t="n">
        <v>1</v>
      </c>
      <c r="C240" s="10" t="s">
        <v>703</v>
      </c>
      <c r="D240" s="10" t="s">
        <v>760</v>
      </c>
    </row>
    <row r="241" customFormat="false" ht="35.05" hidden="false" customHeight="false" outlineLevel="0" collapsed="false">
      <c r="A241" s="10"/>
      <c r="B241" s="10" t="n">
        <v>2</v>
      </c>
      <c r="C241" s="10" t="s">
        <v>657</v>
      </c>
      <c r="D241" s="10" t="s">
        <v>847</v>
      </c>
    </row>
    <row r="242" customFormat="false" ht="35.05" hidden="false" customHeight="false" outlineLevel="0" collapsed="false">
      <c r="A242" s="10"/>
      <c r="B242" s="10" t="n">
        <v>3</v>
      </c>
      <c r="C242" s="10" t="s">
        <v>609</v>
      </c>
      <c r="D242" s="10" t="s">
        <v>848</v>
      </c>
    </row>
    <row r="243" customFormat="false" ht="35.05" hidden="false" customHeight="false" outlineLevel="0" collapsed="false">
      <c r="A243" s="10" t="s">
        <v>423</v>
      </c>
      <c r="B243" s="10" t="n">
        <v>1</v>
      </c>
      <c r="C243" s="10" t="s">
        <v>671</v>
      </c>
      <c r="D243" s="10" t="s">
        <v>824</v>
      </c>
    </row>
    <row r="244" customFormat="false" ht="46.25" hidden="false" customHeight="false" outlineLevel="0" collapsed="false">
      <c r="A244" s="10"/>
      <c r="B244" s="10" t="n">
        <v>2</v>
      </c>
      <c r="C244" s="10" t="s">
        <v>692</v>
      </c>
      <c r="D244" s="10" t="s">
        <v>729</v>
      </c>
    </row>
    <row r="245" customFormat="false" ht="23.85" hidden="false" customHeight="false" outlineLevel="0" collapsed="false">
      <c r="A245" s="10"/>
      <c r="B245" s="10" t="n">
        <v>3</v>
      </c>
      <c r="C245" s="10" t="s">
        <v>680</v>
      </c>
      <c r="D245" s="10" t="s">
        <v>849</v>
      </c>
    </row>
    <row r="246" customFormat="false" ht="35.05" hidden="false" customHeight="false" outlineLevel="0" collapsed="false">
      <c r="A246" s="10" t="s">
        <v>425</v>
      </c>
      <c r="B246" s="10" t="n">
        <v>1</v>
      </c>
      <c r="C246" s="10" t="s">
        <v>703</v>
      </c>
      <c r="D246" s="10" t="s">
        <v>760</v>
      </c>
    </row>
    <row r="247" customFormat="false" ht="35.05" hidden="false" customHeight="false" outlineLevel="0" collapsed="false">
      <c r="A247" s="10"/>
      <c r="B247" s="10" t="n">
        <v>2</v>
      </c>
      <c r="C247" s="10" t="s">
        <v>657</v>
      </c>
      <c r="D247" s="10" t="s">
        <v>847</v>
      </c>
    </row>
    <row r="248" customFormat="false" ht="23.85" hidden="false" customHeight="false" outlineLevel="0" collapsed="false">
      <c r="A248" s="10"/>
      <c r="B248" s="10" t="n">
        <v>3</v>
      </c>
      <c r="C248" s="10" t="s">
        <v>671</v>
      </c>
      <c r="D248" s="10" t="s">
        <v>850</v>
      </c>
    </row>
    <row r="249" customFormat="false" ht="35.05" hidden="false" customHeight="false" outlineLevel="0" collapsed="false">
      <c r="A249" s="10" t="s">
        <v>427</v>
      </c>
      <c r="B249" s="10" t="n">
        <v>1</v>
      </c>
      <c r="C249" s="10" t="s">
        <v>739</v>
      </c>
      <c r="D249" s="10" t="s">
        <v>851</v>
      </c>
    </row>
    <row r="250" customFormat="false" ht="35.05" hidden="false" customHeight="false" outlineLevel="0" collapsed="false">
      <c r="A250" s="10"/>
      <c r="B250" s="10" t="n">
        <v>2</v>
      </c>
      <c r="C250" s="10" t="s">
        <v>659</v>
      </c>
      <c r="D250" s="10" t="s">
        <v>852</v>
      </c>
    </row>
    <row r="251" customFormat="false" ht="15" hidden="false" customHeight="false" outlineLevel="0" collapsed="false">
      <c r="A251" s="10"/>
      <c r="B251" s="10" t="n">
        <v>3</v>
      </c>
      <c r="C251" s="10" t="s">
        <v>659</v>
      </c>
      <c r="D251" s="10" t="s">
        <v>853</v>
      </c>
    </row>
    <row r="252" customFormat="false" ht="35.05" hidden="false" customHeight="false" outlineLevel="0" collapsed="false">
      <c r="A252" s="10" t="s">
        <v>430</v>
      </c>
      <c r="B252" s="10" t="n">
        <v>1</v>
      </c>
      <c r="C252" s="10" t="s">
        <v>653</v>
      </c>
      <c r="D252" s="10" t="s">
        <v>775</v>
      </c>
    </row>
    <row r="253" customFormat="false" ht="57.45" hidden="false" customHeight="false" outlineLevel="0" collapsed="false">
      <c r="A253" s="10"/>
      <c r="B253" s="10" t="n">
        <v>2</v>
      </c>
      <c r="C253" s="10" t="s">
        <v>648</v>
      </c>
      <c r="D253" s="10" t="s">
        <v>854</v>
      </c>
    </row>
    <row r="254" customFormat="false" ht="35.05" hidden="false" customHeight="false" outlineLevel="0" collapsed="false">
      <c r="A254" s="10"/>
      <c r="B254" s="10" t="n">
        <v>3</v>
      </c>
      <c r="C254" s="10" t="s">
        <v>648</v>
      </c>
      <c r="D254" s="10" t="s">
        <v>855</v>
      </c>
    </row>
    <row r="255" customFormat="false" ht="46.25" hidden="false" customHeight="false" outlineLevel="0" collapsed="false">
      <c r="A255" s="10" t="s">
        <v>435</v>
      </c>
      <c r="B255" s="10" t="n">
        <v>1</v>
      </c>
      <c r="C255" s="10" t="s">
        <v>703</v>
      </c>
      <c r="D255" s="10" t="s">
        <v>856</v>
      </c>
    </row>
    <row r="256" customFormat="false" ht="57.45" hidden="false" customHeight="false" outlineLevel="0" collapsed="false">
      <c r="A256" s="10"/>
      <c r="B256" s="10" t="n">
        <v>2</v>
      </c>
      <c r="C256" s="10" t="s">
        <v>657</v>
      </c>
      <c r="D256" s="10" t="s">
        <v>857</v>
      </c>
    </row>
    <row r="257" customFormat="false" ht="23.85" hidden="false" customHeight="false" outlineLevel="0" collapsed="false">
      <c r="A257" s="10"/>
      <c r="B257" s="10" t="n">
        <v>3</v>
      </c>
      <c r="C257" s="10" t="s">
        <v>703</v>
      </c>
      <c r="D257" s="10" t="s">
        <v>858</v>
      </c>
    </row>
    <row r="258" customFormat="false" ht="35.05" hidden="false" customHeight="false" outlineLevel="0" collapsed="false">
      <c r="A258" s="10" t="s">
        <v>438</v>
      </c>
      <c r="B258" s="10" t="n">
        <v>1</v>
      </c>
      <c r="C258" s="10" t="s">
        <v>676</v>
      </c>
      <c r="D258" s="10" t="s">
        <v>859</v>
      </c>
    </row>
    <row r="259" customFormat="false" ht="35.05" hidden="false" customHeight="false" outlineLevel="0" collapsed="false">
      <c r="A259" s="10"/>
      <c r="B259" s="10" t="n">
        <v>2</v>
      </c>
      <c r="C259" s="10" t="s">
        <v>657</v>
      </c>
      <c r="D259" s="10" t="s">
        <v>860</v>
      </c>
    </row>
    <row r="260" customFormat="false" ht="35.05" hidden="false" customHeight="false" outlineLevel="0" collapsed="false">
      <c r="A260" s="10" t="s">
        <v>442</v>
      </c>
      <c r="B260" s="10" t="n">
        <v>1</v>
      </c>
      <c r="C260" s="10" t="s">
        <v>644</v>
      </c>
      <c r="D260" s="10" t="s">
        <v>861</v>
      </c>
    </row>
    <row r="261" customFormat="false" ht="23.85" hidden="false" customHeight="false" outlineLevel="0" collapsed="false">
      <c r="A261" s="10"/>
      <c r="B261" s="10" t="n">
        <v>2</v>
      </c>
      <c r="C261" s="10" t="s">
        <v>657</v>
      </c>
      <c r="D261" s="10" t="s">
        <v>862</v>
      </c>
    </row>
    <row r="262" customFormat="false" ht="35.05" hidden="false" customHeight="false" outlineLevel="0" collapsed="false">
      <c r="A262" s="10" t="s">
        <v>446</v>
      </c>
      <c r="B262" s="10" t="n">
        <v>1</v>
      </c>
      <c r="C262" s="10" t="s">
        <v>646</v>
      </c>
      <c r="D262" s="10" t="s">
        <v>863</v>
      </c>
    </row>
    <row r="263" customFormat="false" ht="35.05" hidden="false" customHeight="false" outlineLevel="0" collapsed="false">
      <c r="A263" s="10" t="s">
        <v>450</v>
      </c>
      <c r="B263" s="10" t="n">
        <v>1</v>
      </c>
      <c r="C263" s="10" t="s">
        <v>690</v>
      </c>
      <c r="D263" s="10" t="s">
        <v>864</v>
      </c>
    </row>
    <row r="264" customFormat="false" ht="46.25" hidden="false" customHeight="false" outlineLevel="0" collapsed="false">
      <c r="A264" s="10"/>
      <c r="B264" s="10" t="n">
        <v>2</v>
      </c>
      <c r="C264" s="10" t="s">
        <v>644</v>
      </c>
      <c r="D264" s="10" t="s">
        <v>645</v>
      </c>
    </row>
    <row r="265" customFormat="false" ht="35.05" hidden="false" customHeight="false" outlineLevel="0" collapsed="false">
      <c r="A265" s="10"/>
      <c r="B265" s="10" t="n">
        <v>3</v>
      </c>
      <c r="C265" s="10" t="s">
        <v>668</v>
      </c>
      <c r="D265" s="10" t="s">
        <v>865</v>
      </c>
    </row>
    <row r="266" customFormat="false" ht="35.05" hidden="false" customHeight="false" outlineLevel="0" collapsed="false">
      <c r="A266" s="10" t="s">
        <v>455</v>
      </c>
      <c r="B266" s="10" t="n">
        <v>1</v>
      </c>
      <c r="C266" s="10" t="s">
        <v>646</v>
      </c>
      <c r="D266" s="10" t="s">
        <v>866</v>
      </c>
    </row>
    <row r="267" customFormat="false" ht="35.05" hidden="false" customHeight="false" outlineLevel="0" collapsed="false">
      <c r="A267" s="10"/>
      <c r="B267" s="10" t="n">
        <v>2</v>
      </c>
      <c r="C267" s="10" t="s">
        <v>646</v>
      </c>
      <c r="D267" s="10" t="s">
        <v>867</v>
      </c>
    </row>
    <row r="268" customFormat="false" ht="23.85" hidden="false" customHeight="false" outlineLevel="0" collapsed="false">
      <c r="A268" s="10"/>
      <c r="B268" s="10" t="n">
        <v>3</v>
      </c>
      <c r="C268" s="10" t="s">
        <v>696</v>
      </c>
      <c r="D268" s="10" t="s">
        <v>868</v>
      </c>
    </row>
    <row r="269" customFormat="false" ht="35.05" hidden="false" customHeight="false" outlineLevel="0" collapsed="false">
      <c r="A269" s="10" t="s">
        <v>458</v>
      </c>
      <c r="B269" s="10" t="n">
        <v>1</v>
      </c>
      <c r="C269" s="10" t="s">
        <v>692</v>
      </c>
      <c r="D269" s="10" t="s">
        <v>869</v>
      </c>
    </row>
    <row r="270" customFormat="false" ht="35.05" hidden="false" customHeight="false" outlineLevel="0" collapsed="false">
      <c r="A270" s="10"/>
      <c r="B270" s="10" t="n">
        <v>2</v>
      </c>
      <c r="C270" s="10" t="s">
        <v>655</v>
      </c>
      <c r="D270" s="10" t="s">
        <v>870</v>
      </c>
    </row>
    <row r="271" customFormat="false" ht="23.85" hidden="false" customHeight="false" outlineLevel="0" collapsed="false">
      <c r="A271" s="10"/>
      <c r="B271" s="10" t="n">
        <v>3</v>
      </c>
      <c r="C271" s="10" t="s">
        <v>680</v>
      </c>
      <c r="D271" s="10" t="s">
        <v>871</v>
      </c>
    </row>
    <row r="272" customFormat="false" ht="35.05" hidden="false" customHeight="false" outlineLevel="0" collapsed="false">
      <c r="A272" s="10" t="s">
        <v>461</v>
      </c>
      <c r="B272" s="10" t="n">
        <v>1</v>
      </c>
      <c r="C272" s="10" t="s">
        <v>692</v>
      </c>
      <c r="D272" s="10" t="s">
        <v>872</v>
      </c>
    </row>
    <row r="273" customFormat="false" ht="35.05" hidden="false" customHeight="false" outlineLevel="0" collapsed="false">
      <c r="A273" s="10"/>
      <c r="B273" s="10" t="n">
        <v>2</v>
      </c>
      <c r="C273" s="10" t="s">
        <v>655</v>
      </c>
      <c r="D273" s="10" t="s">
        <v>870</v>
      </c>
    </row>
    <row r="274" customFormat="false" ht="35.05" hidden="false" customHeight="false" outlineLevel="0" collapsed="false">
      <c r="A274" s="10"/>
      <c r="B274" s="10" t="n">
        <v>3</v>
      </c>
      <c r="C274" s="10" t="s">
        <v>743</v>
      </c>
      <c r="D274" s="10" t="s">
        <v>873</v>
      </c>
    </row>
    <row r="275" customFormat="false" ht="35.05" hidden="false" customHeight="false" outlineLevel="0" collapsed="false">
      <c r="A275" s="10" t="s">
        <v>464</v>
      </c>
      <c r="B275" s="10" t="n">
        <v>1</v>
      </c>
      <c r="C275" s="10" t="s">
        <v>655</v>
      </c>
      <c r="D275" s="10" t="s">
        <v>874</v>
      </c>
    </row>
    <row r="276" customFormat="false" ht="35.05" hidden="false" customHeight="false" outlineLevel="0" collapsed="false">
      <c r="A276" s="10"/>
      <c r="B276" s="10" t="n">
        <v>2</v>
      </c>
      <c r="C276" s="10" t="s">
        <v>763</v>
      </c>
      <c r="D276" s="10" t="s">
        <v>875</v>
      </c>
    </row>
    <row r="277" customFormat="false" ht="23.85" hidden="false" customHeight="false" outlineLevel="0" collapsed="false">
      <c r="A277" s="10"/>
      <c r="B277" s="10" t="n">
        <v>3</v>
      </c>
      <c r="C277" s="10" t="s">
        <v>763</v>
      </c>
      <c r="D277" s="10" t="s">
        <v>876</v>
      </c>
    </row>
    <row r="278" customFormat="false" ht="35.05" hidden="false" customHeight="false" outlineLevel="0" collapsed="false">
      <c r="A278" s="10" t="s">
        <v>467</v>
      </c>
      <c r="B278" s="10" t="n">
        <v>1</v>
      </c>
      <c r="C278" s="10" t="s">
        <v>751</v>
      </c>
      <c r="D278" s="10" t="s">
        <v>877</v>
      </c>
    </row>
    <row r="279" customFormat="false" ht="23.85" hidden="false" customHeight="false" outlineLevel="0" collapsed="false">
      <c r="A279" s="10"/>
      <c r="B279" s="10" t="n">
        <v>2</v>
      </c>
      <c r="C279" s="10" t="s">
        <v>751</v>
      </c>
      <c r="D279" s="10" t="s">
        <v>878</v>
      </c>
    </row>
    <row r="280" customFormat="false" ht="23.85" hidden="false" customHeight="false" outlineLevel="0" collapsed="false">
      <c r="A280" s="10"/>
      <c r="B280" s="10" t="n">
        <v>3</v>
      </c>
      <c r="C280" s="10" t="s">
        <v>751</v>
      </c>
      <c r="D280" s="10" t="s">
        <v>879</v>
      </c>
    </row>
    <row r="281" customFormat="false" ht="35.05" hidden="false" customHeight="false" outlineLevel="0" collapsed="false">
      <c r="A281" s="10" t="s">
        <v>471</v>
      </c>
      <c r="B281" s="10" t="n">
        <v>1</v>
      </c>
      <c r="C281" s="10" t="s">
        <v>655</v>
      </c>
      <c r="D281" s="10" t="s">
        <v>874</v>
      </c>
    </row>
    <row r="282" customFormat="false" ht="15" hidden="false" customHeight="false" outlineLevel="0" collapsed="false">
      <c r="A282" s="10"/>
      <c r="B282" s="10" t="n">
        <v>2</v>
      </c>
      <c r="C282" s="10" t="s">
        <v>690</v>
      </c>
      <c r="D282" s="10" t="s">
        <v>880</v>
      </c>
    </row>
    <row r="283" customFormat="false" ht="23.85" hidden="false" customHeight="false" outlineLevel="0" collapsed="false">
      <c r="A283" s="10" t="s">
        <v>474</v>
      </c>
      <c r="B283" s="10" t="n">
        <v>1</v>
      </c>
      <c r="C283" s="10" t="s">
        <v>668</v>
      </c>
      <c r="D283" s="10" t="s">
        <v>477</v>
      </c>
    </row>
    <row r="284" customFormat="false" ht="15" hidden="false" customHeight="false" outlineLevel="0" collapsed="false">
      <c r="A284" s="10" t="s">
        <v>478</v>
      </c>
      <c r="B284" s="10" t="n">
        <v>1</v>
      </c>
      <c r="C284" s="10" t="s">
        <v>646</v>
      </c>
      <c r="D284" s="10" t="s">
        <v>481</v>
      </c>
    </row>
    <row r="285" customFormat="false" ht="35.05" hidden="false" customHeight="false" outlineLevel="0" collapsed="false">
      <c r="A285" s="10" t="s">
        <v>482</v>
      </c>
      <c r="B285" s="10" t="n">
        <v>1</v>
      </c>
      <c r="C285" s="10" t="s">
        <v>655</v>
      </c>
      <c r="D285" s="10" t="s">
        <v>870</v>
      </c>
    </row>
    <row r="286" customFormat="false" ht="23.85" hidden="false" customHeight="false" outlineLevel="0" collapsed="false">
      <c r="A286" s="10" t="s">
        <v>486</v>
      </c>
      <c r="B286" s="10" t="n">
        <v>1</v>
      </c>
      <c r="C286" s="10" t="s">
        <v>676</v>
      </c>
      <c r="D286" s="10" t="s">
        <v>489</v>
      </c>
    </row>
    <row r="287" customFormat="false" ht="35.05" hidden="false" customHeight="false" outlineLevel="0" collapsed="false">
      <c r="A287" s="10" t="s">
        <v>490</v>
      </c>
      <c r="B287" s="10" t="n">
        <v>1</v>
      </c>
      <c r="C287" s="10" t="s">
        <v>696</v>
      </c>
      <c r="D287" s="10" t="s">
        <v>881</v>
      </c>
    </row>
    <row r="288" customFormat="false" ht="23.85" hidden="false" customHeight="false" outlineLevel="0" collapsed="false">
      <c r="A288" s="10" t="s">
        <v>494</v>
      </c>
      <c r="B288" s="10" t="n">
        <v>1</v>
      </c>
      <c r="C288" s="10" t="s">
        <v>739</v>
      </c>
      <c r="D288" s="10" t="s">
        <v>497</v>
      </c>
    </row>
    <row r="289" customFormat="false" ht="23.85" hidden="false" customHeight="false" outlineLevel="0" collapsed="false">
      <c r="A289" s="10" t="s">
        <v>498</v>
      </c>
      <c r="B289" s="10" t="n">
        <v>1</v>
      </c>
      <c r="C289" s="10" t="s">
        <v>739</v>
      </c>
      <c r="D289" s="10" t="s">
        <v>497</v>
      </c>
    </row>
    <row r="290" customFormat="false" ht="35.05" hidden="false" customHeight="false" outlineLevel="0" collapsed="false">
      <c r="A290" s="10" t="s">
        <v>501</v>
      </c>
      <c r="B290" s="10" t="n">
        <v>1</v>
      </c>
      <c r="C290" s="10" t="s">
        <v>678</v>
      </c>
      <c r="D290" s="10" t="s">
        <v>882</v>
      </c>
    </row>
    <row r="291" customFormat="false" ht="35.05" hidden="false" customHeight="false" outlineLevel="0" collapsed="false">
      <c r="A291" s="10" t="s">
        <v>506</v>
      </c>
      <c r="B291" s="10" t="n">
        <v>1</v>
      </c>
      <c r="C291" s="10" t="s">
        <v>646</v>
      </c>
      <c r="D291" s="10" t="s">
        <v>839</v>
      </c>
    </row>
    <row r="292" customFormat="false" ht="35.05" hidden="false" customHeight="false" outlineLevel="0" collapsed="false">
      <c r="A292" s="10"/>
      <c r="B292" s="10" t="n">
        <v>2</v>
      </c>
      <c r="C292" s="10" t="s">
        <v>601</v>
      </c>
      <c r="D292" s="10" t="s">
        <v>883</v>
      </c>
    </row>
    <row r="293" customFormat="false" ht="23.85" hidden="false" customHeight="false" outlineLevel="0" collapsed="false">
      <c r="A293" s="10"/>
      <c r="B293" s="10" t="n">
        <v>3</v>
      </c>
      <c r="C293" s="10" t="s">
        <v>671</v>
      </c>
      <c r="D293" s="10" t="s">
        <v>850</v>
      </c>
    </row>
    <row r="294" customFormat="false" ht="35.05" hidden="false" customHeight="false" outlineLevel="0" collapsed="false">
      <c r="A294" s="10" t="s">
        <v>509</v>
      </c>
      <c r="B294" s="10" t="n">
        <v>1</v>
      </c>
      <c r="C294" s="10" t="s">
        <v>703</v>
      </c>
      <c r="D294" s="10" t="s">
        <v>760</v>
      </c>
    </row>
    <row r="295" customFormat="false" ht="35.05" hidden="false" customHeight="false" outlineLevel="0" collapsed="false">
      <c r="A295" s="10"/>
      <c r="B295" s="10" t="n">
        <v>2</v>
      </c>
      <c r="C295" s="10" t="s">
        <v>646</v>
      </c>
      <c r="D295" s="10" t="s">
        <v>839</v>
      </c>
    </row>
    <row r="296" customFormat="false" ht="46.25" hidden="false" customHeight="false" outlineLevel="0" collapsed="false">
      <c r="A296" s="10"/>
      <c r="B296" s="10" t="n">
        <v>3</v>
      </c>
      <c r="C296" s="10" t="s">
        <v>648</v>
      </c>
      <c r="D296" s="10" t="s">
        <v>884</v>
      </c>
    </row>
    <row r="297" customFormat="false" ht="35.05" hidden="false" customHeight="false" outlineLevel="0" collapsed="false">
      <c r="A297" s="10" t="s">
        <v>511</v>
      </c>
      <c r="B297" s="10" t="n">
        <v>1</v>
      </c>
      <c r="C297" s="10" t="s">
        <v>655</v>
      </c>
      <c r="D297" s="10" t="s">
        <v>809</v>
      </c>
    </row>
    <row r="298" customFormat="false" ht="35.05" hidden="false" customHeight="false" outlineLevel="0" collapsed="false">
      <c r="A298" s="10"/>
      <c r="B298" s="10" t="n">
        <v>2</v>
      </c>
      <c r="C298" s="10" t="s">
        <v>690</v>
      </c>
      <c r="D298" s="10" t="s">
        <v>885</v>
      </c>
    </row>
    <row r="299" customFormat="false" ht="23.85" hidden="false" customHeight="false" outlineLevel="0" collapsed="false">
      <c r="A299" s="10"/>
      <c r="B299" s="10" t="n">
        <v>3</v>
      </c>
      <c r="C299" s="10" t="s">
        <v>703</v>
      </c>
      <c r="D299" s="10" t="s">
        <v>886</v>
      </c>
    </row>
    <row r="300" customFormat="false" ht="35.05" hidden="false" customHeight="false" outlineLevel="0" collapsed="false">
      <c r="A300" s="10" t="s">
        <v>513</v>
      </c>
      <c r="B300" s="10" t="n">
        <v>1</v>
      </c>
      <c r="C300" s="10" t="s">
        <v>739</v>
      </c>
      <c r="D300" s="10" t="s">
        <v>887</v>
      </c>
    </row>
    <row r="301" customFormat="false" ht="35.05" hidden="false" customHeight="false" outlineLevel="0" collapsed="false">
      <c r="A301" s="10"/>
      <c r="B301" s="10" t="n">
        <v>2</v>
      </c>
      <c r="C301" s="10" t="s">
        <v>703</v>
      </c>
      <c r="D301" s="10" t="s">
        <v>888</v>
      </c>
    </row>
    <row r="302" customFormat="false" ht="35.05" hidden="false" customHeight="false" outlineLevel="0" collapsed="false">
      <c r="A302" s="10"/>
      <c r="B302" s="10" t="n">
        <v>3</v>
      </c>
      <c r="C302" s="10" t="s">
        <v>655</v>
      </c>
      <c r="D302" s="10" t="s">
        <v>889</v>
      </c>
    </row>
    <row r="303" customFormat="false" ht="23.85" hidden="false" customHeight="false" outlineLevel="0" collapsed="false">
      <c r="A303" s="10" t="s">
        <v>516</v>
      </c>
      <c r="B303" s="10" t="n">
        <v>1</v>
      </c>
      <c r="C303" s="10" t="s">
        <v>671</v>
      </c>
      <c r="D303" s="10" t="s">
        <v>519</v>
      </c>
    </row>
    <row r="304" customFormat="false" ht="35.05" hidden="false" customHeight="false" outlineLevel="0" collapsed="false">
      <c r="A304" s="10" t="s">
        <v>520</v>
      </c>
      <c r="B304" s="10" t="n">
        <v>1</v>
      </c>
      <c r="C304" s="10" t="s">
        <v>668</v>
      </c>
      <c r="D304" s="10" t="s">
        <v>890</v>
      </c>
    </row>
    <row r="305" customFormat="false" ht="35.05" hidden="false" customHeight="false" outlineLevel="0" collapsed="false">
      <c r="A305" s="10"/>
      <c r="B305" s="10" t="n">
        <v>2</v>
      </c>
      <c r="C305" s="10" t="s">
        <v>698</v>
      </c>
      <c r="D305" s="10" t="s">
        <v>843</v>
      </c>
    </row>
    <row r="306" customFormat="false" ht="35.05" hidden="false" customHeight="false" outlineLevel="0" collapsed="false">
      <c r="A306" s="10"/>
      <c r="B306" s="10" t="n">
        <v>3</v>
      </c>
      <c r="C306" s="10" t="s">
        <v>767</v>
      </c>
      <c r="D306" s="10" t="s">
        <v>891</v>
      </c>
    </row>
    <row r="307" customFormat="false" ht="35.05" hidden="false" customHeight="false" outlineLevel="0" collapsed="false">
      <c r="A307" s="10" t="s">
        <v>524</v>
      </c>
      <c r="B307" s="10" t="n">
        <v>1</v>
      </c>
      <c r="C307" s="10" t="s">
        <v>601</v>
      </c>
      <c r="D307" s="10" t="s">
        <v>883</v>
      </c>
    </row>
    <row r="308" customFormat="false" ht="35.05" hidden="false" customHeight="false" outlineLevel="0" collapsed="false">
      <c r="A308" s="10"/>
      <c r="B308" s="10" t="n">
        <v>2</v>
      </c>
      <c r="C308" s="10" t="s">
        <v>767</v>
      </c>
      <c r="D308" s="10" t="s">
        <v>844</v>
      </c>
    </row>
    <row r="309" customFormat="false" ht="35.05" hidden="false" customHeight="false" outlineLevel="0" collapsed="false">
      <c r="A309" s="10"/>
      <c r="B309" s="10" t="n">
        <v>3</v>
      </c>
      <c r="C309" s="10" t="s">
        <v>724</v>
      </c>
      <c r="D309" s="10" t="s">
        <v>892</v>
      </c>
    </row>
    <row r="310" customFormat="false" ht="35.05" hidden="false" customHeight="false" outlineLevel="0" collapsed="false">
      <c r="A310" s="10" t="s">
        <v>527</v>
      </c>
      <c r="B310" s="10" t="n">
        <v>1</v>
      </c>
      <c r="C310" s="10" t="s">
        <v>690</v>
      </c>
      <c r="D310" s="10" t="s">
        <v>864</v>
      </c>
    </row>
    <row r="311" customFormat="false" ht="46.25" hidden="false" customHeight="false" outlineLevel="0" collapsed="false">
      <c r="A311" s="10"/>
      <c r="B311" s="10" t="n">
        <v>2</v>
      </c>
      <c r="C311" s="10" t="s">
        <v>671</v>
      </c>
      <c r="D311" s="10" t="s">
        <v>841</v>
      </c>
    </row>
    <row r="312" customFormat="false" ht="23.85" hidden="false" customHeight="false" outlineLevel="0" collapsed="false">
      <c r="A312" s="10"/>
      <c r="B312" s="10" t="n">
        <v>3</v>
      </c>
      <c r="C312" s="10" t="s">
        <v>644</v>
      </c>
      <c r="D312" s="10" t="s">
        <v>893</v>
      </c>
    </row>
    <row r="313" customFormat="false" ht="35.05" hidden="false" customHeight="false" outlineLevel="0" collapsed="false">
      <c r="A313" s="10" t="s">
        <v>529</v>
      </c>
      <c r="B313" s="10" t="n">
        <v>1</v>
      </c>
      <c r="C313" s="10" t="s">
        <v>706</v>
      </c>
      <c r="D313" s="10" t="s">
        <v>894</v>
      </c>
    </row>
    <row r="314" customFormat="false" ht="35.05" hidden="false" customHeight="false" outlineLevel="0" collapsed="false">
      <c r="A314" s="10"/>
      <c r="B314" s="10" t="n">
        <v>2</v>
      </c>
      <c r="C314" s="10" t="s">
        <v>673</v>
      </c>
      <c r="D314" s="10" t="s">
        <v>895</v>
      </c>
    </row>
    <row r="315" customFormat="false" ht="35.05" hidden="false" customHeight="false" outlineLevel="0" collapsed="false">
      <c r="A315" s="10"/>
      <c r="B315" s="10" t="n">
        <v>3</v>
      </c>
      <c r="C315" s="10" t="s">
        <v>671</v>
      </c>
      <c r="D315" s="10" t="s">
        <v>787</v>
      </c>
    </row>
    <row r="316" customFormat="false" ht="35.05" hidden="false" customHeight="false" outlineLevel="0" collapsed="false">
      <c r="A316" s="10" t="s">
        <v>532</v>
      </c>
      <c r="B316" s="10" t="n">
        <v>1</v>
      </c>
      <c r="C316" s="10" t="s">
        <v>673</v>
      </c>
      <c r="D316" s="10" t="s">
        <v>896</v>
      </c>
    </row>
    <row r="317" customFormat="false" ht="35.05" hidden="false" customHeight="false" outlineLevel="0" collapsed="false">
      <c r="A317" s="10"/>
      <c r="B317" s="10" t="n">
        <v>2</v>
      </c>
      <c r="C317" s="10" t="s">
        <v>767</v>
      </c>
      <c r="D317" s="10" t="s">
        <v>891</v>
      </c>
    </row>
    <row r="318" customFormat="false" ht="15" hidden="false" customHeight="false" outlineLevel="0" collapsed="false">
      <c r="A318" s="10"/>
      <c r="B318" s="10" t="n">
        <v>3</v>
      </c>
      <c r="C318" s="10" t="s">
        <v>692</v>
      </c>
      <c r="D318" s="10" t="s">
        <v>897</v>
      </c>
    </row>
    <row r="319" customFormat="false" ht="35.05" hidden="false" customHeight="false" outlineLevel="0" collapsed="false">
      <c r="A319" s="10" t="s">
        <v>535</v>
      </c>
      <c r="B319" s="10" t="n">
        <v>1</v>
      </c>
      <c r="C319" s="10" t="s">
        <v>696</v>
      </c>
      <c r="D319" s="10" t="s">
        <v>898</v>
      </c>
    </row>
    <row r="320" customFormat="false" ht="35.05" hidden="false" customHeight="false" outlineLevel="0" collapsed="false">
      <c r="A320" s="10"/>
      <c r="B320" s="10" t="n">
        <v>2</v>
      </c>
      <c r="C320" s="10" t="s">
        <v>739</v>
      </c>
      <c r="D320" s="10" t="s">
        <v>851</v>
      </c>
    </row>
    <row r="321" customFormat="false" ht="46.25" hidden="false" customHeight="false" outlineLevel="0" collapsed="false">
      <c r="A321" s="10"/>
      <c r="B321" s="10" t="n">
        <v>3</v>
      </c>
      <c r="C321" s="10" t="s">
        <v>648</v>
      </c>
      <c r="D321" s="10" t="s">
        <v>899</v>
      </c>
    </row>
    <row r="322" customFormat="false" ht="35.05" hidden="false" customHeight="false" outlineLevel="0" collapsed="false">
      <c r="A322" s="10" t="s">
        <v>539</v>
      </c>
      <c r="B322" s="10" t="n">
        <v>1</v>
      </c>
      <c r="C322" s="10" t="s">
        <v>646</v>
      </c>
      <c r="D322" s="10" t="s">
        <v>839</v>
      </c>
    </row>
    <row r="323" customFormat="false" ht="35.05" hidden="false" customHeight="false" outlineLevel="0" collapsed="false">
      <c r="A323" s="10"/>
      <c r="B323" s="10" t="n">
        <v>2</v>
      </c>
      <c r="C323" s="10" t="s">
        <v>668</v>
      </c>
      <c r="D323" s="10" t="s">
        <v>890</v>
      </c>
    </row>
    <row r="324" customFormat="false" ht="23.85" hidden="false" customHeight="false" outlineLevel="0" collapsed="false">
      <c r="A324" s="10"/>
      <c r="B324" s="10" t="n">
        <v>3</v>
      </c>
      <c r="C324" s="10" t="s">
        <v>653</v>
      </c>
      <c r="D324" s="10" t="s">
        <v>900</v>
      </c>
    </row>
    <row r="325" customFormat="false" ht="35.05" hidden="false" customHeight="false" outlineLevel="0" collapsed="false">
      <c r="A325" s="10" t="s">
        <v>541</v>
      </c>
      <c r="B325" s="10" t="n">
        <v>1</v>
      </c>
      <c r="C325" s="10" t="s">
        <v>595</v>
      </c>
      <c r="D325" s="10" t="s">
        <v>901</v>
      </c>
    </row>
    <row r="326" customFormat="false" ht="35.05" hidden="false" customHeight="false" outlineLevel="0" collapsed="false">
      <c r="A326" s="10"/>
      <c r="B326" s="10" t="n">
        <v>2</v>
      </c>
      <c r="C326" s="10" t="s">
        <v>657</v>
      </c>
      <c r="D326" s="10" t="s">
        <v>902</v>
      </c>
    </row>
    <row r="327" customFormat="false" ht="23.85" hidden="false" customHeight="false" outlineLevel="0" collapsed="false">
      <c r="A327" s="10"/>
      <c r="B327" s="10" t="n">
        <v>3</v>
      </c>
      <c r="C327" s="10" t="s">
        <v>657</v>
      </c>
      <c r="D327" s="10" t="s">
        <v>903</v>
      </c>
    </row>
    <row r="328" customFormat="false" ht="35.05" hidden="false" customHeight="false" outlineLevel="0" collapsed="false">
      <c r="A328" s="10" t="s">
        <v>544</v>
      </c>
      <c r="B328" s="10" t="n">
        <v>1</v>
      </c>
      <c r="C328" s="10" t="s">
        <v>739</v>
      </c>
      <c r="D328" s="10" t="s">
        <v>851</v>
      </c>
    </row>
    <row r="329" customFormat="false" ht="35.05" hidden="false" customHeight="false" outlineLevel="0" collapsed="false">
      <c r="A329" s="10"/>
      <c r="B329" s="10" t="n">
        <v>2</v>
      </c>
      <c r="C329" s="10" t="s">
        <v>739</v>
      </c>
      <c r="D329" s="10" t="s">
        <v>904</v>
      </c>
    </row>
    <row r="330" customFormat="false" ht="23.85" hidden="false" customHeight="false" outlineLevel="0" collapsed="false">
      <c r="A330" s="10"/>
      <c r="B330" s="10" t="n">
        <v>3</v>
      </c>
      <c r="C330" s="10" t="s">
        <v>743</v>
      </c>
      <c r="D330" s="10" t="s">
        <v>905</v>
      </c>
    </row>
    <row r="331" customFormat="false" ht="35.05" hidden="false" customHeight="false" outlineLevel="0" collapsed="false">
      <c r="A331" s="10" t="s">
        <v>546</v>
      </c>
      <c r="B331" s="10" t="n">
        <v>1</v>
      </c>
      <c r="C331" s="10" t="s">
        <v>690</v>
      </c>
      <c r="D331" s="10" t="s">
        <v>795</v>
      </c>
    </row>
    <row r="332" customFormat="false" ht="46.25" hidden="false" customHeight="false" outlineLevel="0" collapsed="false">
      <c r="A332" s="10"/>
      <c r="B332" s="10" t="n">
        <v>2</v>
      </c>
      <c r="C332" s="10" t="s">
        <v>692</v>
      </c>
      <c r="D332" s="10" t="s">
        <v>906</v>
      </c>
    </row>
    <row r="333" customFormat="false" ht="15" hidden="false" customHeight="false" outlineLevel="0" collapsed="false">
      <c r="A333" s="10"/>
      <c r="B333" s="10" t="n">
        <v>3</v>
      </c>
      <c r="C333" s="10" t="s">
        <v>692</v>
      </c>
      <c r="D333" s="10" t="s">
        <v>907</v>
      </c>
    </row>
    <row r="334" customFormat="false" ht="35.05" hidden="false" customHeight="false" outlineLevel="0" collapsed="false">
      <c r="A334" s="10" t="s">
        <v>549</v>
      </c>
      <c r="B334" s="10" t="n">
        <v>1</v>
      </c>
      <c r="C334" s="10" t="s">
        <v>696</v>
      </c>
      <c r="D334" s="10" t="s">
        <v>908</v>
      </c>
    </row>
    <row r="335" customFormat="false" ht="35.05" hidden="false" customHeight="false" outlineLevel="0" collapsed="false">
      <c r="A335" s="10"/>
      <c r="B335" s="10" t="n">
        <v>2</v>
      </c>
      <c r="C335" s="10" t="s">
        <v>696</v>
      </c>
      <c r="D335" s="10" t="s">
        <v>909</v>
      </c>
    </row>
    <row r="336" customFormat="false" ht="23.85" hidden="false" customHeight="false" outlineLevel="0" collapsed="false">
      <c r="A336" s="10"/>
      <c r="B336" s="10" t="n">
        <v>3</v>
      </c>
      <c r="C336" s="10" t="s">
        <v>696</v>
      </c>
      <c r="D336" s="10" t="s">
        <v>868</v>
      </c>
    </row>
    <row r="337" customFormat="false" ht="46.25" hidden="false" customHeight="false" outlineLevel="0" collapsed="false">
      <c r="A337" s="10" t="s">
        <v>553</v>
      </c>
      <c r="B337" s="10" t="n">
        <v>1</v>
      </c>
      <c r="C337" s="10" t="s">
        <v>644</v>
      </c>
      <c r="D337" s="10" t="s">
        <v>645</v>
      </c>
    </row>
    <row r="338" customFormat="false" ht="35.05" hidden="false" customHeight="false" outlineLevel="0" collapsed="false">
      <c r="A338" s="10"/>
      <c r="B338" s="10" t="n">
        <v>2</v>
      </c>
      <c r="C338" s="10" t="s">
        <v>763</v>
      </c>
      <c r="D338" s="10" t="s">
        <v>764</v>
      </c>
    </row>
    <row r="339" customFormat="false" ht="23.85" hidden="false" customHeight="false" outlineLevel="0" collapsed="false">
      <c r="A339" s="10"/>
      <c r="B339" s="10" t="n">
        <v>3</v>
      </c>
      <c r="C339" s="10" t="s">
        <v>696</v>
      </c>
      <c r="D339" s="10" t="s">
        <v>910</v>
      </c>
    </row>
    <row r="340" customFormat="false" ht="35.05" hidden="false" customHeight="false" outlineLevel="0" collapsed="false">
      <c r="A340" s="10" t="s">
        <v>556</v>
      </c>
      <c r="B340" s="10" t="n">
        <v>1</v>
      </c>
      <c r="C340" s="10" t="s">
        <v>659</v>
      </c>
      <c r="D340" s="10" t="s">
        <v>838</v>
      </c>
    </row>
    <row r="341" customFormat="false" ht="35.05" hidden="false" customHeight="false" outlineLevel="0" collapsed="false">
      <c r="A341" s="10"/>
      <c r="B341" s="10" t="n">
        <v>2</v>
      </c>
      <c r="C341" s="10" t="s">
        <v>668</v>
      </c>
      <c r="D341" s="10" t="s">
        <v>890</v>
      </c>
    </row>
    <row r="342" customFormat="false" ht="23.85" hidden="false" customHeight="false" outlineLevel="0" collapsed="false">
      <c r="A342" s="10"/>
      <c r="B342" s="10" t="n">
        <v>3</v>
      </c>
      <c r="C342" s="10" t="s">
        <v>650</v>
      </c>
      <c r="D342" s="10" t="s">
        <v>911</v>
      </c>
    </row>
    <row r="343" customFormat="false" ht="35.05" hidden="false" customHeight="false" outlineLevel="0" collapsed="false">
      <c r="A343" s="10" t="s">
        <v>559</v>
      </c>
      <c r="B343" s="10" t="n">
        <v>1</v>
      </c>
      <c r="C343" s="10" t="s">
        <v>698</v>
      </c>
      <c r="D343" s="10" t="s">
        <v>843</v>
      </c>
    </row>
    <row r="344" customFormat="false" ht="35.05" hidden="false" customHeight="false" outlineLevel="0" collapsed="false">
      <c r="A344" s="10"/>
      <c r="B344" s="10" t="n">
        <v>2</v>
      </c>
      <c r="C344" s="10" t="s">
        <v>767</v>
      </c>
      <c r="D344" s="10" t="s">
        <v>912</v>
      </c>
    </row>
    <row r="345" customFormat="false" ht="23.85" hidden="false" customHeight="false" outlineLevel="0" collapsed="false">
      <c r="A345" s="10"/>
      <c r="B345" s="10" t="n">
        <v>3</v>
      </c>
      <c r="C345" s="10" t="s">
        <v>604</v>
      </c>
      <c r="D345" s="10" t="s">
        <v>913</v>
      </c>
    </row>
    <row r="346" customFormat="false" ht="35.05" hidden="false" customHeight="false" outlineLevel="0" collapsed="false">
      <c r="A346" s="10" t="s">
        <v>561</v>
      </c>
      <c r="B346" s="10" t="n">
        <v>1</v>
      </c>
      <c r="C346" s="10" t="s">
        <v>646</v>
      </c>
      <c r="D346" s="10" t="s">
        <v>839</v>
      </c>
    </row>
    <row r="347" customFormat="false" ht="35.05" hidden="false" customHeight="false" outlineLevel="0" collapsed="false">
      <c r="A347" s="10"/>
      <c r="B347" s="10" t="n">
        <v>2</v>
      </c>
      <c r="C347" s="10" t="s">
        <v>601</v>
      </c>
      <c r="D347" s="10" t="s">
        <v>883</v>
      </c>
    </row>
    <row r="348" customFormat="false" ht="35.05" hidden="false" customHeight="false" outlineLevel="0" collapsed="false">
      <c r="A348" s="10"/>
      <c r="B348" s="10" t="n">
        <v>3</v>
      </c>
      <c r="C348" s="10" t="s">
        <v>657</v>
      </c>
      <c r="D348" s="10" t="s">
        <v>914</v>
      </c>
    </row>
    <row r="349" customFormat="false" ht="35.05" hidden="false" customHeight="false" outlineLevel="0" collapsed="false">
      <c r="A349" s="10" t="s">
        <v>564</v>
      </c>
      <c r="B349" s="10" t="n">
        <v>1</v>
      </c>
      <c r="C349" s="10" t="s">
        <v>703</v>
      </c>
      <c r="D349" s="10" t="s">
        <v>915</v>
      </c>
    </row>
    <row r="350" customFormat="false" ht="35.05" hidden="false" customHeight="false" outlineLevel="0" collapsed="false">
      <c r="A350" s="10"/>
      <c r="B350" s="10" t="n">
        <v>2</v>
      </c>
      <c r="C350" s="10" t="s">
        <v>703</v>
      </c>
      <c r="D350" s="10" t="s">
        <v>916</v>
      </c>
    </row>
    <row r="351" customFormat="false" ht="23.85" hidden="false" customHeight="false" outlineLevel="0" collapsed="false">
      <c r="A351" s="10"/>
      <c r="B351" s="10" t="n">
        <v>3</v>
      </c>
      <c r="C351" s="10" t="s">
        <v>646</v>
      </c>
      <c r="D351" s="10" t="s">
        <v>917</v>
      </c>
    </row>
    <row r="352" customFormat="false" ht="46.25" hidden="false" customHeight="false" outlineLevel="0" collapsed="false">
      <c r="A352" s="10" t="s">
        <v>567</v>
      </c>
      <c r="B352" s="10" t="n">
        <v>1</v>
      </c>
      <c r="C352" s="10" t="s">
        <v>703</v>
      </c>
      <c r="D352" s="10" t="s">
        <v>856</v>
      </c>
    </row>
    <row r="353" customFormat="false" ht="35.05" hidden="false" customHeight="false" outlineLevel="0" collapsed="false">
      <c r="A353" s="10"/>
      <c r="B353" s="10" t="n">
        <v>2</v>
      </c>
      <c r="C353" s="10" t="s">
        <v>657</v>
      </c>
      <c r="D353" s="10" t="s">
        <v>902</v>
      </c>
    </row>
    <row r="354" customFormat="false" ht="23.85" hidden="false" customHeight="false" outlineLevel="0" collapsed="false">
      <c r="A354" s="10"/>
      <c r="B354" s="10" t="n">
        <v>3</v>
      </c>
      <c r="C354" s="10" t="s">
        <v>657</v>
      </c>
      <c r="D354" s="10" t="s">
        <v>903</v>
      </c>
    </row>
    <row r="355" customFormat="false" ht="35.05" hidden="false" customHeight="false" outlineLevel="0" collapsed="false">
      <c r="A355" s="10" t="s">
        <v>570</v>
      </c>
      <c r="B355" s="10" t="n">
        <v>1</v>
      </c>
      <c r="C355" s="10" t="s">
        <v>690</v>
      </c>
      <c r="D355" s="10" t="s">
        <v>918</v>
      </c>
    </row>
    <row r="356" customFormat="false" ht="35.05" hidden="false" customHeight="false" outlineLevel="0" collapsed="false">
      <c r="A356" s="10"/>
      <c r="B356" s="10" t="n">
        <v>2</v>
      </c>
      <c r="C356" s="10" t="s">
        <v>763</v>
      </c>
      <c r="D356" s="10" t="s">
        <v>919</v>
      </c>
    </row>
    <row r="357" customFormat="false" ht="35.05" hidden="false" customHeight="false" outlineLevel="0" collapsed="false">
      <c r="A357" s="10" t="s">
        <v>575</v>
      </c>
      <c r="B357" s="10" t="n">
        <v>1</v>
      </c>
      <c r="C357" s="10" t="s">
        <v>767</v>
      </c>
      <c r="D357" s="10" t="s">
        <v>920</v>
      </c>
    </row>
    <row r="358" customFormat="false" ht="35.05" hidden="false" customHeight="false" outlineLevel="0" collapsed="false">
      <c r="A358" s="10"/>
      <c r="B358" s="10" t="n">
        <v>2</v>
      </c>
      <c r="C358" s="10" t="s">
        <v>664</v>
      </c>
      <c r="D358" s="10" t="s">
        <v>921</v>
      </c>
    </row>
    <row r="359" customFormat="false" ht="35.05" hidden="false" customHeight="false" outlineLevel="0" collapsed="false">
      <c r="A359" s="10"/>
      <c r="B359" s="10" t="n">
        <v>3</v>
      </c>
      <c r="C359" s="10" t="s">
        <v>767</v>
      </c>
      <c r="D359" s="10" t="s">
        <v>922</v>
      </c>
    </row>
    <row r="360" customFormat="false" ht="35.05" hidden="false" customHeight="false" outlineLevel="0" collapsed="false">
      <c r="A360" s="10" t="s">
        <v>580</v>
      </c>
      <c r="B360" s="10" t="n">
        <v>1</v>
      </c>
      <c r="C360" s="10" t="s">
        <v>692</v>
      </c>
      <c r="D360" s="10" t="s">
        <v>923</v>
      </c>
    </row>
    <row r="361" customFormat="false" ht="35.05" hidden="false" customHeight="false" outlineLevel="0" collapsed="false">
      <c r="A361" s="10"/>
      <c r="B361" s="10" t="n">
        <v>2</v>
      </c>
      <c r="C361" s="10" t="s">
        <v>664</v>
      </c>
      <c r="D361" s="10" t="s">
        <v>921</v>
      </c>
    </row>
    <row r="362" customFormat="false" ht="35.05" hidden="false" customHeight="false" outlineLevel="0" collapsed="false">
      <c r="A362" s="10"/>
      <c r="B362" s="10" t="n">
        <v>3</v>
      </c>
      <c r="C362" s="10" t="s">
        <v>601</v>
      </c>
      <c r="D362" s="10" t="s">
        <v>924</v>
      </c>
    </row>
    <row r="363" customFormat="false" ht="35.05" hidden="false" customHeight="false" outlineLevel="0" collapsed="false">
      <c r="A363" s="10" t="s">
        <v>583</v>
      </c>
      <c r="B363" s="10" t="n">
        <v>1</v>
      </c>
      <c r="C363" s="10" t="s">
        <v>595</v>
      </c>
      <c r="D363" s="10" t="s">
        <v>925</v>
      </c>
    </row>
    <row r="364" customFormat="false" ht="23.85" hidden="false" customHeight="false" outlineLevel="0" collapsed="false">
      <c r="A364" s="10"/>
      <c r="B364" s="10" t="n">
        <v>2</v>
      </c>
      <c r="C364" s="10" t="s">
        <v>644</v>
      </c>
      <c r="D364" s="10" t="s">
        <v>926</v>
      </c>
    </row>
    <row r="365" customFormat="false" ht="23.85" hidden="false" customHeight="false" outlineLevel="0" collapsed="false">
      <c r="A365" s="10"/>
      <c r="B365" s="10" t="n">
        <v>3</v>
      </c>
      <c r="C365" s="10" t="s">
        <v>664</v>
      </c>
      <c r="D365" s="10" t="s">
        <v>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2026-05-10T13:28:17Z</dcterms:created>
  <dc:creator>openpyxl</dc:creator>
  <dc:description/>
  <dc:language>en-US</dc:language>
  <cp:lastModifiedBy/>
  <dcterms:modified xsi:type="dcterms:W3CDTF">2026-05-10T13:28:18Z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